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to\Downloads\"/>
    </mc:Choice>
  </mc:AlternateContent>
  <xr:revisionPtr revIDLastSave="0" documentId="13_ncr:1_{DEB0752D-86B0-4FF3-A8C8-3B848160E139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</sheets>
  <externalReferences>
    <externalReference r:id="rId2"/>
  </externalReferences>
  <definedNames>
    <definedName name="Aporte_empleador">Hoja1!$E$15</definedName>
    <definedName name="Aumento_anual">Hoja1!$E$8</definedName>
    <definedName name="Cont_inicial">Hoja1!$E$11</definedName>
    <definedName name="ContrInicial">Hoja1!$E$12</definedName>
    <definedName name="Edad">Hoja1!$E$18</definedName>
    <definedName name="Edad_retiro">Hoja1!$E$19</definedName>
    <definedName name="Ingreso_inicial">Hoja1!$E$7</definedName>
    <definedName name="interes">Hoja1!$E$20</definedName>
    <definedName name="Max_aporte_em">Hoja1!$E$16</definedName>
    <definedName name="Pagos_por_año">Hoja1!$E$21</definedName>
    <definedName name="Salario_retenido">Hoja1!$E$13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  <c r="D70" i="1" s="1"/>
  <c r="C69" i="1"/>
  <c r="E69" i="1" s="1"/>
  <c r="C68" i="1"/>
  <c r="E68" i="1" s="1"/>
  <c r="F68" i="1" s="1"/>
  <c r="C67" i="1"/>
  <c r="C66" i="1"/>
  <c r="D66" i="1" s="1"/>
  <c r="C65" i="1"/>
  <c r="E65" i="1" s="1"/>
  <c r="C64" i="1"/>
  <c r="E64" i="1" s="1"/>
  <c r="F64" i="1" s="1"/>
  <c r="C63" i="1"/>
  <c r="C62" i="1"/>
  <c r="D62" i="1" s="1"/>
  <c r="C61" i="1"/>
  <c r="E61" i="1" s="1"/>
  <c r="C60" i="1"/>
  <c r="E60" i="1" s="1"/>
  <c r="F60" i="1" s="1"/>
  <c r="C59" i="1"/>
  <c r="C58" i="1"/>
  <c r="D58" i="1" s="1"/>
  <c r="C57" i="1"/>
  <c r="E57" i="1" s="1"/>
  <c r="C56" i="1"/>
  <c r="C55" i="1"/>
  <c r="C54" i="1"/>
  <c r="D54" i="1" s="1"/>
  <c r="C53" i="1"/>
  <c r="E53" i="1" s="1"/>
  <c r="C52" i="1"/>
  <c r="E52" i="1" s="1"/>
  <c r="F52" i="1" s="1"/>
  <c r="C51" i="1"/>
  <c r="C50" i="1"/>
  <c r="D50" i="1" s="1"/>
  <c r="C49" i="1"/>
  <c r="E49" i="1" s="1"/>
  <c r="C48" i="1"/>
  <c r="E48" i="1" s="1"/>
  <c r="F48" i="1" s="1"/>
  <c r="C47" i="1"/>
  <c r="C46" i="1"/>
  <c r="D46" i="1" s="1"/>
  <c r="C45" i="1"/>
  <c r="E45" i="1" s="1"/>
  <c r="C44" i="1"/>
  <c r="E44" i="1" s="1"/>
  <c r="F44" i="1" s="1"/>
  <c r="C43" i="1"/>
  <c r="C42" i="1"/>
  <c r="C41" i="1"/>
  <c r="E41" i="1" s="1"/>
  <c r="C40" i="1"/>
  <c r="E40" i="1" s="1"/>
  <c r="F40" i="1" s="1"/>
  <c r="C39" i="1"/>
  <c r="C38" i="1"/>
  <c r="C37" i="1"/>
  <c r="E37" i="1" s="1"/>
  <c r="F37" i="1" s="1"/>
  <c r="C36" i="1"/>
  <c r="E36" i="1" s="1"/>
  <c r="F36" i="1" s="1"/>
  <c r="C35" i="1"/>
  <c r="C34" i="1"/>
  <c r="C33" i="1"/>
  <c r="E33" i="1" s="1"/>
  <c r="F33" i="1" s="1"/>
  <c r="C32" i="1"/>
  <c r="C31" i="1"/>
  <c r="N14" i="1"/>
  <c r="E10" i="1"/>
  <c r="G9" i="1"/>
  <c r="I8" i="1"/>
  <c r="H8" i="1"/>
  <c r="J8" i="1" s="1"/>
  <c r="D40" i="1" l="1"/>
  <c r="D68" i="1"/>
  <c r="D52" i="1"/>
  <c r="D36" i="1"/>
  <c r="D32" i="1"/>
  <c r="G44" i="1"/>
  <c r="G48" i="1"/>
  <c r="E56" i="1"/>
  <c r="F56" i="1" s="1"/>
  <c r="D60" i="1"/>
  <c r="G64" i="1"/>
  <c r="E32" i="1"/>
  <c r="F32" i="1" s="1"/>
  <c r="G40" i="1"/>
  <c r="D44" i="1"/>
  <c r="D48" i="1"/>
  <c r="G52" i="1"/>
  <c r="D64" i="1"/>
  <c r="G68" i="1"/>
  <c r="G36" i="1"/>
  <c r="D56" i="1"/>
  <c r="G60" i="1"/>
  <c r="E35" i="1"/>
  <c r="F35" i="1" s="1"/>
  <c r="D35" i="1"/>
  <c r="F31" i="1"/>
  <c r="E31" i="1"/>
  <c r="D31" i="1"/>
  <c r="G35" i="1"/>
  <c r="E43" i="1"/>
  <c r="F43" i="1" s="1"/>
  <c r="D43" i="1"/>
  <c r="F39" i="1"/>
  <c r="E39" i="1"/>
  <c r="D39" i="1"/>
  <c r="G31" i="1"/>
  <c r="F41" i="1"/>
  <c r="F45" i="1"/>
  <c r="D47" i="1"/>
  <c r="F49" i="1"/>
  <c r="D51" i="1"/>
  <c r="F53" i="1"/>
  <c r="D55" i="1"/>
  <c r="F57" i="1"/>
  <c r="D59" i="1"/>
  <c r="F61" i="1"/>
  <c r="D63" i="1"/>
  <c r="F65" i="1"/>
  <c r="D67" i="1"/>
  <c r="F69" i="1"/>
  <c r="D34" i="1"/>
  <c r="D38" i="1"/>
  <c r="G41" i="1"/>
  <c r="D42" i="1"/>
  <c r="G45" i="1"/>
  <c r="E47" i="1"/>
  <c r="F47" i="1" s="1"/>
  <c r="G49" i="1"/>
  <c r="E51" i="1"/>
  <c r="F51" i="1" s="1"/>
  <c r="G53" i="1"/>
  <c r="E55" i="1"/>
  <c r="F55" i="1" s="1"/>
  <c r="G57" i="1"/>
  <c r="E59" i="1"/>
  <c r="F59" i="1" s="1"/>
  <c r="G61" i="1"/>
  <c r="G65" i="1"/>
  <c r="E67" i="1"/>
  <c r="F67" i="1" s="1"/>
  <c r="G69" i="1"/>
  <c r="G33" i="1"/>
  <c r="G37" i="1"/>
  <c r="E63" i="1"/>
  <c r="F63" i="1" s="1"/>
  <c r="D33" i="1"/>
  <c r="E34" i="1"/>
  <c r="F34" i="1" s="1"/>
  <c r="D37" i="1"/>
  <c r="E38" i="1"/>
  <c r="F38" i="1" s="1"/>
  <c r="D41" i="1"/>
  <c r="E42" i="1"/>
  <c r="F42" i="1" s="1"/>
  <c r="D45" i="1"/>
  <c r="E46" i="1"/>
  <c r="D49" i="1"/>
  <c r="E50" i="1"/>
  <c r="G50" i="1" s="1"/>
  <c r="D53" i="1"/>
  <c r="E54" i="1"/>
  <c r="D57" i="1"/>
  <c r="E58" i="1"/>
  <c r="G58" i="1" s="1"/>
  <c r="D61" i="1"/>
  <c r="E62" i="1"/>
  <c r="D65" i="1"/>
  <c r="E66" i="1"/>
  <c r="G66" i="1" s="1"/>
  <c r="D69" i="1"/>
  <c r="E70" i="1"/>
  <c r="G43" i="1" l="1"/>
  <c r="G67" i="1"/>
  <c r="G42" i="1"/>
  <c r="G56" i="1"/>
  <c r="G32" i="1"/>
  <c r="H31" i="1"/>
  <c r="I31" i="1" s="1"/>
  <c r="F70" i="1"/>
  <c r="F54" i="1"/>
  <c r="F46" i="1"/>
  <c r="G63" i="1"/>
  <c r="G47" i="1"/>
  <c r="G39" i="1"/>
  <c r="G51" i="1"/>
  <c r="F62" i="1"/>
  <c r="G59" i="1"/>
  <c r="G70" i="1"/>
  <c r="G62" i="1"/>
  <c r="G54" i="1"/>
  <c r="G46" i="1"/>
  <c r="G38" i="1"/>
  <c r="F66" i="1"/>
  <c r="F58" i="1"/>
  <c r="F50" i="1"/>
  <c r="G55" i="1"/>
  <c r="G34" i="1"/>
  <c r="I9" i="1" l="1"/>
  <c r="I10" i="1" s="1"/>
  <c r="H32" i="1"/>
  <c r="H9" i="1"/>
  <c r="J9" i="1" l="1"/>
  <c r="H10" i="1"/>
  <c r="J10" i="1" s="1"/>
  <c r="I32" i="1"/>
  <c r="H33" i="1" l="1"/>
  <c r="I33" i="1" l="1"/>
  <c r="H34" i="1" l="1"/>
  <c r="I34" i="1" s="1"/>
  <c r="H35" i="1" l="1"/>
  <c r="I35" i="1" s="1"/>
  <c r="H36" i="1" l="1"/>
  <c r="I36" i="1" s="1"/>
  <c r="H37" i="1" l="1"/>
  <c r="I37" i="1" s="1"/>
  <c r="H38" i="1" l="1"/>
  <c r="I38" i="1" s="1"/>
  <c r="H39" i="1" l="1"/>
  <c r="I39" i="1" s="1"/>
  <c r="H40" i="1" l="1"/>
  <c r="I40" i="1" s="1"/>
  <c r="H41" i="1" l="1"/>
  <c r="I41" i="1" s="1"/>
  <c r="H42" i="1" l="1"/>
  <c r="I42" i="1" s="1"/>
  <c r="H43" i="1" l="1"/>
  <c r="I43" i="1" s="1"/>
  <c r="H44" i="1" l="1"/>
  <c r="I44" i="1" s="1"/>
  <c r="H45" i="1" l="1"/>
  <c r="I45" i="1" s="1"/>
  <c r="H46" i="1" l="1"/>
  <c r="I46" i="1" s="1"/>
  <c r="H47" i="1" l="1"/>
  <c r="I47" i="1" s="1"/>
  <c r="H48" i="1" l="1"/>
  <c r="I48" i="1" s="1"/>
  <c r="H49" i="1" l="1"/>
  <c r="I49" i="1" s="1"/>
  <c r="H50" i="1" l="1"/>
  <c r="I50" i="1" s="1"/>
  <c r="H51" i="1" l="1"/>
  <c r="I51" i="1" s="1"/>
  <c r="H52" i="1" l="1"/>
  <c r="I52" i="1" s="1"/>
  <c r="H53" i="1" l="1"/>
  <c r="I53" i="1" s="1"/>
  <c r="H54" i="1" l="1"/>
  <c r="I54" i="1" s="1"/>
  <c r="H55" i="1" l="1"/>
  <c r="I55" i="1" s="1"/>
  <c r="H56" i="1" l="1"/>
  <c r="I56" i="1" s="1"/>
  <c r="H57" i="1" l="1"/>
  <c r="I57" i="1" s="1"/>
  <c r="H58" i="1" l="1"/>
  <c r="I58" i="1" s="1"/>
  <c r="H59" i="1" l="1"/>
  <c r="I59" i="1" s="1"/>
  <c r="H60" i="1" l="1"/>
  <c r="I60" i="1" s="1"/>
  <c r="H61" i="1" l="1"/>
  <c r="I61" i="1" s="1"/>
  <c r="H62" i="1" l="1"/>
  <c r="I62" i="1" s="1"/>
  <c r="H63" i="1" l="1"/>
  <c r="I63" i="1" s="1"/>
  <c r="H64" i="1" l="1"/>
  <c r="I64" i="1" s="1"/>
  <c r="H65" i="1" l="1"/>
  <c r="I65" i="1" s="1"/>
  <c r="H66" i="1" l="1"/>
  <c r="I66" i="1" s="1"/>
  <c r="H67" i="1" l="1"/>
  <c r="I67" i="1" s="1"/>
  <c r="H68" i="1" l="1"/>
  <c r="I68" i="1" s="1"/>
  <c r="H69" i="1" l="1"/>
  <c r="I69" i="1" s="1"/>
  <c r="H70" i="1" l="1"/>
  <c r="H11" i="1" s="1"/>
  <c r="H12" i="1" s="1"/>
  <c r="I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Cecilia</author>
  </authors>
  <commentList>
    <comment ref="C16" authorId="0" shapeId="0" xr:uid="{6198066C-8A84-48BE-BEB8-675EAD52B49C}">
      <text>
        <r>
          <rPr>
            <sz val="10"/>
            <color indexed="81"/>
            <rFont val="Calibri Light"/>
            <family val="2"/>
            <scheme val="major"/>
          </rPr>
          <t>% del salario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<sst xmlns="http://schemas.openxmlformats.org/spreadsheetml/2006/main" count="36" uniqueCount="30">
  <si>
    <t>DATOS</t>
  </si>
  <si>
    <t>RESULTADOS</t>
  </si>
  <si>
    <t>Completa los siguientes datos:</t>
  </si>
  <si>
    <t>Contribución</t>
  </si>
  <si>
    <t>Salario anual</t>
  </si>
  <si>
    <t>Propia</t>
  </si>
  <si>
    <t>Empleado</t>
  </si>
  <si>
    <t>Total</t>
  </si>
  <si>
    <t>Estimación de aumento anual</t>
  </si>
  <si>
    <t>%</t>
  </si>
  <si>
    <t>Hasta Hoy</t>
  </si>
  <si>
    <t>Balance actual</t>
  </si>
  <si>
    <t>Contribución hasta hoy</t>
  </si>
  <si>
    <t>Intereses ganados</t>
  </si>
  <si>
    <t>Contribución empleador al día</t>
  </si>
  <si>
    <t>Balance</t>
  </si>
  <si>
    <t>Salario retenido para 401K</t>
  </si>
  <si>
    <t>Aporte empleador</t>
  </si>
  <si>
    <t>Máx.aporte del empleador</t>
  </si>
  <si>
    <t>Edad actual</t>
  </si>
  <si>
    <t>Edad de retiro</t>
  </si>
  <si>
    <t>% de interés promedio</t>
  </si>
  <si>
    <t>Pagos por año</t>
  </si>
  <si>
    <t>DETALLES</t>
  </si>
  <si>
    <t>Año</t>
  </si>
  <si>
    <t>Edad</t>
  </si>
  <si>
    <t>Salario</t>
  </si>
  <si>
    <t>Contribución Propia</t>
  </si>
  <si>
    <t>Contribución empleador</t>
  </si>
  <si>
    <t xml:space="preserve">Balance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</si>
</sst>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\ #,##0.00"/>
    <numFmt numFmtId="165" formatCode="&quot;$&quot;\ #,##0.00;[Red]&quot;$&quot;\ \-#,##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14BD8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14BD8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Arial"/>
      <family val="2"/>
    </font>
    <font>
      <sz val="10"/>
      <color indexed="81"/>
      <name val="Calibri Light"/>
      <family val="2"/>
      <scheme val="major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4BD89"/>
        <bgColor indexed="64"/>
      </patternFill>
    </fill>
    <fill>
      <patternFill patternType="solid">
        <fgColor rgb="FF14BD8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6F5EE"/>
        <bgColor indexed="64"/>
      </patternFill>
    </fill>
  </fills>
  <borders count="14">
    <border>
      <left/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/>
      <right/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8">
    <xf numFmtId="0" fontId="0" fillId="0" borderId="0" xfId="0"/>
    <xf numFmtId="0" fontId="0" fillId="2" borderId="0" xfId="0" applyFill="1"/>
    <xf numFmtId="0" fontId="5" fillId="0" borderId="0" xfId="0" applyFont="1"/>
    <xf numFmtId="0" fontId="6" fillId="0" borderId="0" xfId="0" applyFont="1"/>
    <xf numFmtId="0" fontId="0" fillId="0" borderId="0" xfId="0" applyAlignment="1">
      <alignment vertical="center"/>
    </xf>
    <xf numFmtId="0" fontId="7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top"/>
    </xf>
    <xf numFmtId="164" fontId="6" fillId="0" borderId="5" xfId="0" applyNumberFormat="1" applyFont="1" applyBorder="1" applyAlignme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2" fontId="6" fillId="0" borderId="5" xfId="0" applyNumberFormat="1" applyFont="1" applyBorder="1" applyAlignment="1">
      <alignment vertical="center"/>
    </xf>
    <xf numFmtId="0" fontId="6" fillId="0" borderId="0" xfId="0" applyFont="1" applyAlignment="1">
      <alignment horizontal="left" vertical="center"/>
    </xf>
    <xf numFmtId="0" fontId="2" fillId="3" borderId="3" xfId="0" applyFont="1" applyFill="1" applyBorder="1" applyAlignment="1">
      <alignment vertical="center" wrapText="1"/>
    </xf>
    <xf numFmtId="164" fontId="6" fillId="4" borderId="8" xfId="0" applyNumberFormat="1" applyFont="1" applyFill="1" applyBorder="1" applyAlignment="1">
      <alignment horizontal="center" vertical="center"/>
    </xf>
    <xf numFmtId="164" fontId="6" fillId="4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vertical="center"/>
    </xf>
    <xf numFmtId="164" fontId="6" fillId="0" borderId="9" xfId="0" applyNumberFormat="1" applyFont="1" applyBorder="1" applyAlignment="1">
      <alignment vertical="center"/>
    </xf>
    <xf numFmtId="164" fontId="6" fillId="4" borderId="6" xfId="0" applyNumberFormat="1" applyFont="1" applyFill="1" applyBorder="1" applyAlignment="1">
      <alignment horizontal="center" vertical="center"/>
    </xf>
    <xf numFmtId="164" fontId="6" fillId="4" borderId="7" xfId="0" applyNumberFormat="1" applyFont="1" applyFill="1" applyBorder="1" applyAlignment="1">
      <alignment horizontal="center" vertical="center"/>
    </xf>
    <xf numFmtId="164" fontId="8" fillId="5" borderId="3" xfId="0" applyNumberFormat="1" applyFont="1" applyFill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2" fontId="6" fillId="0" borderId="9" xfId="0" applyNumberFormat="1" applyFont="1" applyBorder="1" applyAlignment="1">
      <alignment vertical="center"/>
    </xf>
    <xf numFmtId="164" fontId="6" fillId="0" borderId="0" xfId="0" applyNumberFormat="1" applyFont="1" applyAlignment="1">
      <alignment vertical="center"/>
    </xf>
    <xf numFmtId="0" fontId="0" fillId="0" borderId="10" xfId="0" applyBorder="1"/>
    <xf numFmtId="0" fontId="8" fillId="0" borderId="0" xfId="0" applyFont="1"/>
    <xf numFmtId="0" fontId="6" fillId="0" borderId="10" xfId="0" applyFont="1" applyBorder="1" applyAlignment="1">
      <alignment horizontal="left" vertical="center"/>
    </xf>
    <xf numFmtId="1" fontId="6" fillId="0" borderId="9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44" fontId="6" fillId="0" borderId="0" xfId="1" applyFont="1" applyFill="1" applyBorder="1" applyAlignment="1"/>
    <xf numFmtId="165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0" fontId="2" fillId="3" borderId="0" xfId="0" applyFont="1" applyFill="1" applyBorder="1" applyAlignment="1">
      <alignment horizontal="center" vertical="center" wrapText="1"/>
    </xf>
    <xf numFmtId="0" fontId="6" fillId="0" borderId="0" xfId="0" applyFont="1" applyBorder="1"/>
    <xf numFmtId="0" fontId="5" fillId="0" borderId="0" xfId="0" applyFont="1" applyBorder="1" applyAlignment="1"/>
    <xf numFmtId="0" fontId="4" fillId="0" borderId="0" xfId="0" applyFont="1" applyBorder="1" applyAlignment="1"/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vertical="center"/>
    </xf>
    <xf numFmtId="164" fontId="11" fillId="0" borderId="0" xfId="0" applyNumberFormat="1" applyFont="1" applyBorder="1"/>
    <xf numFmtId="0" fontId="2" fillId="3" borderId="1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2"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5145871220392"/>
          <c:y val="8.2190583319942168E-2"/>
          <c:w val="0.74637451617096418"/>
          <c:h val="0.62309245618491238"/>
        </c:manualLayout>
      </c:layout>
      <c:lineChart>
        <c:grouping val="standard"/>
        <c:varyColors val="0"/>
        <c:ser>
          <c:idx val="0"/>
          <c:order val="0"/>
          <c:tx>
            <c:strRef>
              <c:f>[1]Datos!$E$2</c:f>
              <c:strCache>
                <c:ptCount val="1"/>
                <c:pt idx="0">
                  <c:v>Balance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[1]Datos!$D$3:$D$62</c:f>
              <c:numCache>
                <c:formatCode>General</c:formatCode>
                <c:ptCount val="60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cat>
          <c:val>
            <c:numRef>
              <c:f>[1]Datos!$E$3:$E$62</c:f>
              <c:numCache>
                <c:formatCode>General</c:formatCode>
                <c:ptCount val="60"/>
                <c:pt idx="0">
                  <c:v>3600.0000000000364</c:v>
                </c:pt>
                <c:pt idx="1">
                  <c:v>7560.0000000000728</c:v>
                </c:pt>
                <c:pt idx="2">
                  <c:v>11908.440000000113</c:v>
                </c:pt>
                <c:pt idx="3">
                  <c:v>16675.848000000169</c:v>
                </c:pt>
                <c:pt idx="4">
                  <c:v>21894.989076000227</c:v>
                </c:pt>
                <c:pt idx="5">
                  <c:v>27601.024978800284</c:v>
                </c:pt>
                <c:pt idx="6">
                  <c:v>33831.684994820753</c:v>
                </c:pt>
                <c:pt idx="7">
                  <c:v>40627.448859987788</c:v>
                </c:pt>
                <c:pt idx="8">
                  <c:v>48031.74257318239</c:v>
                </c:pt>
                <c:pt idx="9">
                  <c:v>56091.14801509049</c:v>
                </c:pt>
                <c:pt idx="10">
                  <c:v>64855.627341785723</c:v>
                </c:pt>
                <c:pt idx="11">
                  <c:v>74378.763190318801</c:v>
                </c:pt>
                <c:pt idx="12">
                  <c:v>84718.015806287425</c:v>
                </c:pt>
                <c:pt idx="13">
                  <c:v>95934.998281153239</c:v>
                </c:pt>
                <c:pt idx="14">
                  <c:v>108095.77117031242</c:v>
                </c:pt>
                <c:pt idx="15">
                  <c:v>121271.15785199709</c:v>
                </c:pt>
                <c:pt idx="16">
                  <c:v>135537.08208239256</c:v>
                </c:pt>
                <c:pt idx="17">
                  <c:v>150974.92930433838</c:v>
                </c:pt>
                <c:pt idx="18">
                  <c:v>167671.93337610579</c:v>
                </c:pt>
                <c:pt idx="19">
                  <c:v>185721.59050351084</c:v>
                </c:pt>
                <c:pt idx="20">
                  <c:v>205224.10228356661</c:v>
                </c:pt>
                <c:pt idx="21">
                  <c:v>226286.84990157059</c:v>
                </c:pt>
                <c:pt idx="22">
                  <c:v>249024.90166657945</c:v>
                </c:pt>
                <c:pt idx="23">
                  <c:v>273561.55622329592</c:v>
                </c:pt>
                <c:pt idx="24">
                  <c:v>300028.92394218413</c:v>
                </c:pt>
                <c:pt idx="25">
                  <c:v>328568.54916489229</c:v>
                </c:pt>
                <c:pt idx="26">
                  <c:v>359332.07616959268</c:v>
                </c:pt>
                <c:pt idx="27">
                  <c:v>392481.96192151686</c:v>
                </c:pt>
                <c:pt idx="28">
                  <c:v>428192.23888867727</c:v>
                </c:pt>
                <c:pt idx="29">
                  <c:v>466649.33143251849</c:v>
                </c:pt>
                <c:pt idx="30">
                  <c:v>508052.92952907761</c:v>
                </c:pt>
                <c:pt idx="31">
                  <c:v>552616.92383928434</c:v>
                </c:pt>
                <c:pt idx="32">
                  <c:v>600570.40642850078</c:v>
                </c:pt>
                <c:pt idx="33">
                  <c:v>652158.74173657631</c:v>
                </c:pt>
                <c:pt idx="34">
                  <c:v>707644.71272195957</c:v>
                </c:pt>
                <c:pt idx="35">
                  <c:v>767309.74744823435</c:v>
                </c:pt>
                <c:pt idx="36">
                  <c:v>831455.23175042053</c:v>
                </c:pt>
                <c:pt idx="37">
                  <c:v>900403.91401318391</c:v>
                </c:pt>
                <c:pt idx="38">
                  <c:v>974501.40851554798</c:v>
                </c:pt>
                <c:pt idx="39">
                  <c:v>1054117.8042487209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8A-49C6-B0CF-2F5411FEF471}"/>
            </c:ext>
          </c:extLst>
        </c:ser>
        <c:ser>
          <c:idx val="1"/>
          <c:order val="1"/>
          <c:tx>
            <c:strRef>
              <c:f>[1]Datos!$F$2</c:f>
              <c:strCache>
                <c:ptCount val="1"/>
                <c:pt idx="0">
                  <c:v>Contribucion propia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[1]Datos!$D$3:$D$62</c:f>
              <c:numCache>
                <c:formatCode>General</c:formatCode>
                <c:ptCount val="60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cat>
          <c:val>
            <c:numRef>
              <c:f>[1]Datos!$F$3:$F$62</c:f>
              <c:numCache>
                <c:formatCode>General</c:formatCode>
                <c:ptCount val="60"/>
                <c:pt idx="0">
                  <c:v>2400</c:v>
                </c:pt>
                <c:pt idx="1">
                  <c:v>4872</c:v>
                </c:pt>
                <c:pt idx="2">
                  <c:v>7418.16</c:v>
                </c:pt>
                <c:pt idx="3">
                  <c:v>10040.7048</c:v>
                </c:pt>
                <c:pt idx="4">
                  <c:v>12741.925943999999</c:v>
                </c:pt>
                <c:pt idx="5">
                  <c:v>15524.183722319998</c:v>
                </c:pt>
                <c:pt idx="6">
                  <c:v>18389.909233989598</c:v>
                </c:pt>
                <c:pt idx="7">
                  <c:v>21341.606511009286</c:v>
                </c:pt>
                <c:pt idx="8">
                  <c:v>24381.854706339564</c:v>
                </c:pt>
                <c:pt idx="9">
                  <c:v>27513.31034752975</c:v>
                </c:pt>
                <c:pt idx="10">
                  <c:v>30738.709657955642</c:v>
                </c:pt>
                <c:pt idx="11">
                  <c:v>34060.870947694311</c:v>
                </c:pt>
                <c:pt idx="12">
                  <c:v>37482.697076125143</c:v>
                </c:pt>
                <c:pt idx="13">
                  <c:v>41007.177988408897</c:v>
                </c:pt>
                <c:pt idx="14">
                  <c:v>44637.393328061167</c:v>
                </c:pt>
                <c:pt idx="15">
                  <c:v>48376.515127903003</c:v>
                </c:pt>
                <c:pt idx="16">
                  <c:v>52227.810581740094</c:v>
                </c:pt>
                <c:pt idx="17">
                  <c:v>56194.644899192295</c:v>
                </c:pt>
                <c:pt idx="18">
                  <c:v>60280.48424616806</c:v>
                </c:pt>
                <c:pt idx="19">
                  <c:v>64488.898773553097</c:v>
                </c:pt>
                <c:pt idx="20">
                  <c:v>68823.565736759687</c:v>
                </c:pt>
                <c:pt idx="21">
                  <c:v>73288.272708862482</c:v>
                </c:pt>
                <c:pt idx="22">
                  <c:v>77886.920890128356</c:v>
                </c:pt>
                <c:pt idx="23">
                  <c:v>82623.528516832201</c:v>
                </c:pt>
                <c:pt idx="24">
                  <c:v>87502.23437233716</c:v>
                </c:pt>
                <c:pt idx="25">
                  <c:v>92527.30140350727</c:v>
                </c:pt>
                <c:pt idx="26">
                  <c:v>97703.120445612483</c:v>
                </c:pt>
                <c:pt idx="27">
                  <c:v>103034.21405898086</c:v>
                </c:pt>
                <c:pt idx="28">
                  <c:v>108525.24048075028</c:v>
                </c:pt>
                <c:pt idx="29">
                  <c:v>114180.99769517279</c:v>
                </c:pt>
                <c:pt idx="30">
                  <c:v>120006.42762602797</c:v>
                </c:pt>
                <c:pt idx="31">
                  <c:v>126006.62045480881</c:v>
                </c:pt>
                <c:pt idx="32">
                  <c:v>132186.81906845307</c:v>
                </c:pt>
                <c:pt idx="33">
                  <c:v>138552.42364050666</c:v>
                </c:pt>
                <c:pt idx="34">
                  <c:v>145108.99634972186</c:v>
                </c:pt>
                <c:pt idx="35">
                  <c:v>151862.2662402135</c:v>
                </c:pt>
                <c:pt idx="36">
                  <c:v>158818.13422741991</c:v>
                </c:pt>
                <c:pt idx="37">
                  <c:v>165982.67825424252</c:v>
                </c:pt>
                <c:pt idx="38">
                  <c:v>173362.1586018698</c:v>
                </c:pt>
                <c:pt idx="39">
                  <c:v>180963.02335992589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8A-49C6-B0CF-2F5411FEF471}"/>
            </c:ext>
          </c:extLst>
        </c:ser>
        <c:ser>
          <c:idx val="2"/>
          <c:order val="2"/>
          <c:tx>
            <c:strRef>
              <c:f>[1]Datos!$G$2</c:f>
              <c:strCache>
                <c:ptCount val="1"/>
                <c:pt idx="0">
                  <c:v>Total contribucion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[1]Datos!$D$3:$D$62</c:f>
              <c:numCache>
                <c:formatCode>General</c:formatCode>
                <c:ptCount val="60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cat>
          <c:val>
            <c:numRef>
              <c:f>[1]Datos!$G$3:$G$62</c:f>
              <c:numCache>
                <c:formatCode>General</c:formatCode>
                <c:ptCount val="60"/>
                <c:pt idx="0">
                  <c:v>3600</c:v>
                </c:pt>
                <c:pt idx="1">
                  <c:v>7308</c:v>
                </c:pt>
                <c:pt idx="2">
                  <c:v>11127.24</c:v>
                </c:pt>
                <c:pt idx="3">
                  <c:v>15061.057199999999</c:v>
                </c:pt>
                <c:pt idx="4">
                  <c:v>19112.888916</c:v>
                </c:pt>
                <c:pt idx="5">
                  <c:v>23286.275583479997</c:v>
                </c:pt>
                <c:pt idx="6">
                  <c:v>27584.863850984395</c:v>
                </c:pt>
                <c:pt idx="7">
                  <c:v>32012.409766513927</c:v>
                </c:pt>
                <c:pt idx="8">
                  <c:v>36572.782059509344</c:v>
                </c:pt>
                <c:pt idx="9">
                  <c:v>41269.965521294624</c:v>
                </c:pt>
                <c:pt idx="10">
                  <c:v>46108.064486933465</c:v>
                </c:pt>
                <c:pt idx="11">
                  <c:v>51091.306421541463</c:v>
                </c:pt>
                <c:pt idx="12">
                  <c:v>56224.045614187708</c:v>
                </c:pt>
                <c:pt idx="13">
                  <c:v>61510.766982613335</c:v>
                </c:pt>
                <c:pt idx="14">
                  <c:v>66956.089992091729</c:v>
                </c:pt>
                <c:pt idx="15">
                  <c:v>72564.772691854479</c:v>
                </c:pt>
                <c:pt idx="16">
                  <c:v>78341.715872610104</c:v>
                </c:pt>
                <c:pt idx="17">
                  <c:v>84291.967348788399</c:v>
                </c:pt>
                <c:pt idx="18">
                  <c:v>90420.72636925205</c:v>
                </c:pt>
                <c:pt idx="19">
                  <c:v>96733.34816032961</c:v>
                </c:pt>
                <c:pt idx="20">
                  <c:v>103235.3486051395</c:v>
                </c:pt>
                <c:pt idx="21">
                  <c:v>109932.40906329369</c:v>
                </c:pt>
                <c:pt idx="22">
                  <c:v>116830.38133519249</c:v>
                </c:pt>
                <c:pt idx="23">
                  <c:v>123935.29277524826</c:v>
                </c:pt>
                <c:pt idx="24">
                  <c:v>131253.3515585057</c:v>
                </c:pt>
                <c:pt idx="25">
                  <c:v>138790.95210526089</c:v>
                </c:pt>
                <c:pt idx="26">
                  <c:v>146554.68066841873</c:v>
                </c:pt>
                <c:pt idx="27">
                  <c:v>154551.3210884713</c:v>
                </c:pt>
                <c:pt idx="28">
                  <c:v>162787.86072112544</c:v>
                </c:pt>
                <c:pt idx="29">
                  <c:v>171271.49654275921</c:v>
                </c:pt>
                <c:pt idx="30">
                  <c:v>180009.64143904197</c:v>
                </c:pt>
                <c:pt idx="31">
                  <c:v>189009.93068221322</c:v>
                </c:pt>
                <c:pt idx="32">
                  <c:v>198280.22860267962</c:v>
                </c:pt>
                <c:pt idx="33">
                  <c:v>207828.63546076001</c:v>
                </c:pt>
                <c:pt idx="34">
                  <c:v>217663.49452458281</c:v>
                </c:pt>
                <c:pt idx="35">
                  <c:v>227793.3993603203</c:v>
                </c:pt>
                <c:pt idx="36">
                  <c:v>238227.2013411299</c:v>
                </c:pt>
                <c:pt idx="37">
                  <c:v>248974.01738136381</c:v>
                </c:pt>
                <c:pt idx="38">
                  <c:v>260043.23790280471</c:v>
                </c:pt>
                <c:pt idx="39">
                  <c:v>271444.53503988887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8A-49C6-B0CF-2F5411FEF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900176"/>
        <c:axId val="261900736"/>
      </c:lineChart>
      <c:dateAx>
        <c:axId val="26190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1900736"/>
        <c:crosses val="autoZero"/>
        <c:auto val="0"/>
        <c:lblOffset val="100"/>
        <c:baseTimeUnit val="days"/>
      </c:dateAx>
      <c:valAx>
        <c:axId val="26190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190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19051</xdr:colOff>
      <xdr:row>12</xdr:row>
      <xdr:rowOff>76201</xdr:rowOff>
    </xdr:from>
    <xdr:to>
      <xdr:col>10</xdr:col>
      <xdr:colOff>85725</xdr:colOff>
      <xdr:row>22</xdr:row>
      <xdr:rowOff>95250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87628494-14D4-4FBB-8EBC-8278D623B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0</xdr:row>
      <xdr:rowOff>0</xdr:rowOff>
    </xdr:from>
    <xdr:to>
      <xdr:col>6</xdr:col>
      <xdr:colOff>762000</xdr:colOff>
      <xdr:row>1</xdr:row>
      <xdr:rowOff>95250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B5811054-BF39-48FD-8C7C-9741D007BDF7}"/>
            </a:ext>
          </a:extLst>
        </xdr:cNvPr>
        <xdr:cNvSpPr txBox="1"/>
      </xdr:nvSpPr>
      <xdr:spPr>
        <a:xfrm>
          <a:off x="609600" y="0"/>
          <a:ext cx="5343525" cy="742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CALCULADORA</a:t>
          </a:r>
          <a:r>
            <a:rPr lang="en-US" sz="2000" b="1" baseline="0">
              <a:solidFill>
                <a:schemeClr val="bg1"/>
              </a:solidFill>
            </a:rPr>
            <a:t> DE RETIRO 401K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TM\Integrador\Macros\planilla-de-excel-calculadora-de-retiro-401-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adora 401k"/>
      <sheetName val="Datos"/>
    </sheetNames>
    <sheetDataSet>
      <sheetData sheetId="0"/>
      <sheetData sheetId="1">
        <row r="2">
          <cell r="E2" t="str">
            <v>Balance</v>
          </cell>
          <cell r="F2" t="str">
            <v>Contribucion propia</v>
          </cell>
          <cell r="G2" t="str">
            <v>Total contribucion</v>
          </cell>
        </row>
        <row r="3">
          <cell r="D3">
            <v>25</v>
          </cell>
          <cell r="E3">
            <v>3600.0000000000364</v>
          </cell>
          <cell r="F3">
            <v>2400</v>
          </cell>
          <cell r="G3">
            <v>3600</v>
          </cell>
        </row>
        <row r="4">
          <cell r="D4">
            <v>26</v>
          </cell>
          <cell r="E4">
            <v>7560.0000000000728</v>
          </cell>
          <cell r="F4">
            <v>4872</v>
          </cell>
          <cell r="G4">
            <v>7308</v>
          </cell>
        </row>
        <row r="5">
          <cell r="D5">
            <v>27</v>
          </cell>
          <cell r="E5">
            <v>11908.440000000113</v>
          </cell>
          <cell r="F5">
            <v>7418.16</v>
          </cell>
          <cell r="G5">
            <v>11127.24</v>
          </cell>
        </row>
        <row r="6">
          <cell r="D6">
            <v>28</v>
          </cell>
          <cell r="E6">
            <v>16675.848000000169</v>
          </cell>
          <cell r="F6">
            <v>10040.7048</v>
          </cell>
          <cell r="G6">
            <v>15061.057199999999</v>
          </cell>
        </row>
        <row r="7">
          <cell r="D7">
            <v>29</v>
          </cell>
          <cell r="E7">
            <v>21894.989076000227</v>
          </cell>
          <cell r="F7">
            <v>12741.925943999999</v>
          </cell>
          <cell r="G7">
            <v>19112.888916</v>
          </cell>
        </row>
        <row r="8">
          <cell r="D8">
            <v>30</v>
          </cell>
          <cell r="E8">
            <v>27601.024978800284</v>
          </cell>
          <cell r="F8">
            <v>15524.183722319998</v>
          </cell>
          <cell r="G8">
            <v>23286.275583479997</v>
          </cell>
        </row>
        <row r="9">
          <cell r="D9">
            <v>31</v>
          </cell>
          <cell r="E9">
            <v>33831.684994820753</v>
          </cell>
          <cell r="F9">
            <v>18389.909233989598</v>
          </cell>
          <cell r="G9">
            <v>27584.863850984395</v>
          </cell>
        </row>
        <row r="10">
          <cell r="D10">
            <v>32</v>
          </cell>
          <cell r="E10">
            <v>40627.448859987788</v>
          </cell>
          <cell r="F10">
            <v>21341.606511009286</v>
          </cell>
          <cell r="G10">
            <v>32012.409766513927</v>
          </cell>
        </row>
        <row r="11">
          <cell r="D11">
            <v>33</v>
          </cell>
          <cell r="E11">
            <v>48031.74257318239</v>
          </cell>
          <cell r="F11">
            <v>24381.854706339564</v>
          </cell>
          <cell r="G11">
            <v>36572.782059509344</v>
          </cell>
        </row>
        <row r="12">
          <cell r="D12">
            <v>34</v>
          </cell>
          <cell r="E12">
            <v>56091.14801509049</v>
          </cell>
          <cell r="F12">
            <v>27513.31034752975</v>
          </cell>
          <cell r="G12">
            <v>41269.965521294624</v>
          </cell>
        </row>
        <row r="13">
          <cell r="D13">
            <v>35</v>
          </cell>
          <cell r="E13">
            <v>64855.627341785723</v>
          </cell>
          <cell r="F13">
            <v>30738.709657955642</v>
          </cell>
          <cell r="G13">
            <v>46108.064486933465</v>
          </cell>
        </row>
        <row r="14">
          <cell r="D14">
            <v>36</v>
          </cell>
          <cell r="E14">
            <v>74378.763190318801</v>
          </cell>
          <cell r="F14">
            <v>34060.870947694311</v>
          </cell>
          <cell r="G14">
            <v>51091.306421541463</v>
          </cell>
        </row>
        <row r="15">
          <cell r="D15">
            <v>37</v>
          </cell>
          <cell r="E15">
            <v>84718.015806287425</v>
          </cell>
          <cell r="F15">
            <v>37482.697076125143</v>
          </cell>
          <cell r="G15">
            <v>56224.045614187708</v>
          </cell>
        </row>
        <row r="16">
          <cell r="D16">
            <v>38</v>
          </cell>
          <cell r="E16">
            <v>95934.998281153239</v>
          </cell>
          <cell r="F16">
            <v>41007.177988408897</v>
          </cell>
          <cell r="G16">
            <v>61510.766982613335</v>
          </cell>
        </row>
        <row r="17">
          <cell r="D17">
            <v>39</v>
          </cell>
          <cell r="E17">
            <v>108095.77117031242</v>
          </cell>
          <cell r="F17">
            <v>44637.393328061167</v>
          </cell>
          <cell r="G17">
            <v>66956.089992091729</v>
          </cell>
        </row>
        <row r="18">
          <cell r="D18">
            <v>40</v>
          </cell>
          <cell r="E18">
            <v>121271.15785199709</v>
          </cell>
          <cell r="F18">
            <v>48376.515127903003</v>
          </cell>
          <cell r="G18">
            <v>72564.772691854479</v>
          </cell>
        </row>
        <row r="19">
          <cell r="D19">
            <v>41</v>
          </cell>
          <cell r="E19">
            <v>135537.08208239256</v>
          </cell>
          <cell r="F19">
            <v>52227.810581740094</v>
          </cell>
          <cell r="G19">
            <v>78341.715872610104</v>
          </cell>
        </row>
        <row r="20">
          <cell r="D20">
            <v>42</v>
          </cell>
          <cell r="E20">
            <v>150974.92930433838</v>
          </cell>
          <cell r="F20">
            <v>56194.644899192295</v>
          </cell>
          <cell r="G20">
            <v>84291.967348788399</v>
          </cell>
        </row>
        <row r="21">
          <cell r="D21">
            <v>43</v>
          </cell>
          <cell r="E21">
            <v>167671.93337610579</v>
          </cell>
          <cell r="F21">
            <v>60280.48424616806</v>
          </cell>
          <cell r="G21">
            <v>90420.72636925205</v>
          </cell>
        </row>
        <row r="22">
          <cell r="D22">
            <v>44</v>
          </cell>
          <cell r="E22">
            <v>185721.59050351084</v>
          </cell>
          <cell r="F22">
            <v>64488.898773553097</v>
          </cell>
          <cell r="G22">
            <v>96733.34816032961</v>
          </cell>
        </row>
        <row r="23">
          <cell r="D23">
            <v>45</v>
          </cell>
          <cell r="E23">
            <v>205224.10228356661</v>
          </cell>
          <cell r="F23">
            <v>68823.565736759687</v>
          </cell>
          <cell r="G23">
            <v>103235.3486051395</v>
          </cell>
        </row>
        <row r="24">
          <cell r="D24">
            <v>46</v>
          </cell>
          <cell r="E24">
            <v>226286.84990157059</v>
          </cell>
          <cell r="F24">
            <v>73288.272708862482</v>
          </cell>
          <cell r="G24">
            <v>109932.40906329369</v>
          </cell>
        </row>
        <row r="25">
          <cell r="D25">
            <v>47</v>
          </cell>
          <cell r="E25">
            <v>249024.90166657945</v>
          </cell>
          <cell r="F25">
            <v>77886.920890128356</v>
          </cell>
          <cell r="G25">
            <v>116830.38133519249</v>
          </cell>
        </row>
        <row r="26">
          <cell r="D26">
            <v>48</v>
          </cell>
          <cell r="E26">
            <v>273561.55622329592</v>
          </cell>
          <cell r="F26">
            <v>82623.528516832201</v>
          </cell>
          <cell r="G26">
            <v>123935.29277524826</v>
          </cell>
        </row>
        <row r="27">
          <cell r="D27">
            <v>49</v>
          </cell>
          <cell r="E27">
            <v>300028.92394218413</v>
          </cell>
          <cell r="F27">
            <v>87502.23437233716</v>
          </cell>
          <cell r="G27">
            <v>131253.3515585057</v>
          </cell>
        </row>
        <row r="28">
          <cell r="D28">
            <v>50</v>
          </cell>
          <cell r="E28">
            <v>328568.54916489229</v>
          </cell>
          <cell r="F28">
            <v>92527.30140350727</v>
          </cell>
          <cell r="G28">
            <v>138790.95210526089</v>
          </cell>
        </row>
        <row r="29">
          <cell r="D29">
            <v>51</v>
          </cell>
          <cell r="E29">
            <v>359332.07616959268</v>
          </cell>
          <cell r="F29">
            <v>97703.120445612483</v>
          </cell>
          <cell r="G29">
            <v>146554.68066841873</v>
          </cell>
        </row>
        <row r="30">
          <cell r="D30">
            <v>52</v>
          </cell>
          <cell r="E30">
            <v>392481.96192151686</v>
          </cell>
          <cell r="F30">
            <v>103034.21405898086</v>
          </cell>
          <cell r="G30">
            <v>154551.3210884713</v>
          </cell>
        </row>
        <row r="31">
          <cell r="D31">
            <v>53</v>
          </cell>
          <cell r="E31">
            <v>428192.23888867727</v>
          </cell>
          <cell r="F31">
            <v>108525.24048075028</v>
          </cell>
          <cell r="G31">
            <v>162787.86072112544</v>
          </cell>
        </row>
        <row r="32">
          <cell r="D32">
            <v>54</v>
          </cell>
          <cell r="E32">
            <v>466649.33143251849</v>
          </cell>
          <cell r="F32">
            <v>114180.99769517279</v>
          </cell>
          <cell r="G32">
            <v>171271.49654275921</v>
          </cell>
        </row>
        <row r="33">
          <cell r="D33">
            <v>55</v>
          </cell>
          <cell r="E33">
            <v>508052.92952907761</v>
          </cell>
          <cell r="F33">
            <v>120006.42762602797</v>
          </cell>
          <cell r="G33">
            <v>180009.64143904197</v>
          </cell>
        </row>
        <row r="34">
          <cell r="D34">
            <v>56</v>
          </cell>
          <cell r="E34">
            <v>552616.92383928434</v>
          </cell>
          <cell r="F34">
            <v>126006.62045480881</v>
          </cell>
          <cell r="G34">
            <v>189009.93068221322</v>
          </cell>
        </row>
        <row r="35">
          <cell r="D35">
            <v>57</v>
          </cell>
          <cell r="E35">
            <v>600570.40642850078</v>
          </cell>
          <cell r="F35">
            <v>132186.81906845307</v>
          </cell>
          <cell r="G35">
            <v>198280.22860267962</v>
          </cell>
        </row>
        <row r="36">
          <cell r="D36">
            <v>58</v>
          </cell>
          <cell r="E36">
            <v>652158.74173657631</v>
          </cell>
          <cell r="F36">
            <v>138552.42364050666</v>
          </cell>
          <cell r="G36">
            <v>207828.63546076001</v>
          </cell>
        </row>
        <row r="37">
          <cell r="D37">
            <v>59</v>
          </cell>
          <cell r="E37">
            <v>707644.71272195957</v>
          </cell>
          <cell r="F37">
            <v>145108.99634972186</v>
          </cell>
          <cell r="G37">
            <v>217663.49452458281</v>
          </cell>
        </row>
        <row r="38">
          <cell r="D38">
            <v>60</v>
          </cell>
          <cell r="E38">
            <v>767309.74744823435</v>
          </cell>
          <cell r="F38">
            <v>151862.2662402135</v>
          </cell>
          <cell r="G38">
            <v>227793.3993603203</v>
          </cell>
        </row>
        <row r="39">
          <cell r="D39">
            <v>61</v>
          </cell>
          <cell r="E39">
            <v>831455.23175042053</v>
          </cell>
          <cell r="F39">
            <v>158818.13422741991</v>
          </cell>
          <cell r="G39">
            <v>238227.2013411299</v>
          </cell>
        </row>
        <row r="40">
          <cell r="D40">
            <v>62</v>
          </cell>
          <cell r="E40">
            <v>900403.91401318391</v>
          </cell>
          <cell r="F40">
            <v>165982.67825424252</v>
          </cell>
          <cell r="G40">
            <v>248974.01738136381</v>
          </cell>
        </row>
        <row r="41">
          <cell r="D41">
            <v>63</v>
          </cell>
          <cell r="E41">
            <v>974501.40851554798</v>
          </cell>
          <cell r="F41">
            <v>173362.1586018698</v>
          </cell>
          <cell r="G41">
            <v>260043.23790280471</v>
          </cell>
        </row>
        <row r="42">
          <cell r="D42">
            <v>64</v>
          </cell>
          <cell r="E42">
            <v>1054117.8042487209</v>
          </cell>
          <cell r="F42">
            <v>180963.02335992589</v>
          </cell>
          <cell r="G42">
            <v>271444.53503988887</v>
          </cell>
        </row>
        <row r="43">
          <cell r="D43" t="e">
            <v>#N/A</v>
          </cell>
          <cell r="E43" t="e">
            <v>#N/A</v>
          </cell>
          <cell r="F43" t="e">
            <v>#N/A</v>
          </cell>
          <cell r="G43" t="e">
            <v>#N/A</v>
          </cell>
        </row>
        <row r="44">
          <cell r="D44" t="e">
            <v>#N/A</v>
          </cell>
          <cell r="E44" t="e">
            <v>#N/A</v>
          </cell>
          <cell r="F44" t="e">
            <v>#N/A</v>
          </cell>
          <cell r="G44" t="e">
            <v>#N/A</v>
          </cell>
        </row>
        <row r="45">
          <cell r="D45" t="e">
            <v>#N/A</v>
          </cell>
          <cell r="E45" t="e">
            <v>#N/A</v>
          </cell>
          <cell r="F45" t="e">
            <v>#N/A</v>
          </cell>
          <cell r="G45" t="e">
            <v>#N/A</v>
          </cell>
        </row>
        <row r="46">
          <cell r="D46" t="e">
            <v>#N/A</v>
          </cell>
          <cell r="E46" t="e">
            <v>#N/A</v>
          </cell>
          <cell r="F46" t="e">
            <v>#N/A</v>
          </cell>
          <cell r="G46" t="e">
            <v>#N/A</v>
          </cell>
        </row>
        <row r="47">
          <cell r="D47" t="e">
            <v>#N/A</v>
          </cell>
          <cell r="E47" t="e">
            <v>#N/A</v>
          </cell>
          <cell r="F47" t="e">
            <v>#N/A</v>
          </cell>
          <cell r="G47" t="e">
            <v>#N/A</v>
          </cell>
        </row>
        <row r="48">
          <cell r="D48" t="e">
            <v>#N/A</v>
          </cell>
          <cell r="E48" t="e">
            <v>#N/A</v>
          </cell>
          <cell r="F48" t="e">
            <v>#N/A</v>
          </cell>
          <cell r="G48" t="e">
            <v>#N/A</v>
          </cell>
        </row>
        <row r="49">
          <cell r="D49" t="e">
            <v>#N/A</v>
          </cell>
          <cell r="E49" t="e">
            <v>#N/A</v>
          </cell>
          <cell r="F49" t="e">
            <v>#N/A</v>
          </cell>
          <cell r="G49" t="e">
            <v>#N/A</v>
          </cell>
        </row>
        <row r="50">
          <cell r="D50" t="e">
            <v>#N/A</v>
          </cell>
          <cell r="E50" t="e">
            <v>#N/A</v>
          </cell>
          <cell r="F50" t="e">
            <v>#N/A</v>
          </cell>
          <cell r="G50" t="e">
            <v>#N/A</v>
          </cell>
        </row>
        <row r="51">
          <cell r="D51" t="e">
            <v>#N/A</v>
          </cell>
          <cell r="E51" t="e">
            <v>#N/A</v>
          </cell>
          <cell r="F51" t="e">
            <v>#N/A</v>
          </cell>
          <cell r="G51" t="e">
            <v>#N/A</v>
          </cell>
        </row>
        <row r="52">
          <cell r="D52" t="e">
            <v>#N/A</v>
          </cell>
          <cell r="E52" t="e">
            <v>#N/A</v>
          </cell>
          <cell r="F52" t="e">
            <v>#N/A</v>
          </cell>
          <cell r="G52" t="e">
            <v>#N/A</v>
          </cell>
        </row>
        <row r="53">
          <cell r="D53" t="e">
            <v>#N/A</v>
          </cell>
          <cell r="E53" t="e">
            <v>#N/A</v>
          </cell>
          <cell r="F53" t="e">
            <v>#N/A</v>
          </cell>
          <cell r="G53" t="e">
            <v>#N/A</v>
          </cell>
        </row>
        <row r="54">
          <cell r="D54" t="e">
            <v>#N/A</v>
          </cell>
          <cell r="E54" t="e">
            <v>#N/A</v>
          </cell>
          <cell r="F54" t="e">
            <v>#N/A</v>
          </cell>
          <cell r="G54" t="e">
            <v>#N/A</v>
          </cell>
        </row>
        <row r="55">
          <cell r="D55" t="e">
            <v>#N/A</v>
          </cell>
          <cell r="E55" t="e">
            <v>#N/A</v>
          </cell>
          <cell r="F55" t="e">
            <v>#N/A</v>
          </cell>
          <cell r="G55" t="e">
            <v>#N/A</v>
          </cell>
        </row>
        <row r="56">
          <cell r="D56" t="e">
            <v>#N/A</v>
          </cell>
          <cell r="E56" t="e">
            <v>#N/A</v>
          </cell>
          <cell r="F56" t="e">
            <v>#N/A</v>
          </cell>
          <cell r="G56" t="e">
            <v>#N/A</v>
          </cell>
        </row>
        <row r="57">
          <cell r="D57" t="e">
            <v>#N/A</v>
          </cell>
          <cell r="E57" t="e">
            <v>#N/A</v>
          </cell>
          <cell r="F57" t="e">
            <v>#N/A</v>
          </cell>
          <cell r="G57" t="e">
            <v>#N/A</v>
          </cell>
        </row>
        <row r="58">
          <cell r="D58" t="e">
            <v>#N/A</v>
          </cell>
          <cell r="E58" t="e">
            <v>#N/A</v>
          </cell>
          <cell r="F58" t="e">
            <v>#N/A</v>
          </cell>
          <cell r="G58" t="e">
            <v>#N/A</v>
          </cell>
        </row>
        <row r="59">
          <cell r="D59" t="e">
            <v>#N/A</v>
          </cell>
          <cell r="E59" t="e">
            <v>#N/A</v>
          </cell>
          <cell r="F59" t="e">
            <v>#N/A</v>
          </cell>
          <cell r="G59" t="e">
            <v>#N/A</v>
          </cell>
        </row>
        <row r="60">
          <cell r="D60" t="e">
            <v>#N/A</v>
          </cell>
          <cell r="E60" t="e">
            <v>#N/A</v>
          </cell>
          <cell r="F60" t="e">
            <v>#N/A</v>
          </cell>
          <cell r="G60" t="e">
            <v>#N/A</v>
          </cell>
        </row>
        <row r="61">
          <cell r="D61" t="e">
            <v>#N/A</v>
          </cell>
          <cell r="E61" t="e">
            <v>#N/A</v>
          </cell>
          <cell r="F61">
            <v>0</v>
          </cell>
          <cell r="G61" t="e">
            <v>#N/A</v>
          </cell>
        </row>
        <row r="62">
          <cell r="D62" t="e">
            <v>#N/A</v>
          </cell>
          <cell r="E62" t="e">
            <v>#N/A</v>
          </cell>
          <cell r="F62">
            <v>0</v>
          </cell>
          <cell r="G62" t="e">
            <v>#N/A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83"/>
  <sheetViews>
    <sheetView tabSelected="1" topLeftCell="A1491" workbookViewId="0">
      <selection activeCell="B1500" sqref="B1500"/>
    </sheetView>
  </sheetViews>
  <sheetFormatPr baseColWidth="10" defaultColWidth="9.140625" defaultRowHeight="15" x14ac:dyDescent="0.25"/>
  <cols>
    <col min="2" max="2" width="7.42578125" customWidth="1"/>
    <col min="3" max="3" width="13.5703125" customWidth="1"/>
    <col min="4" max="4" width="16.7109375" customWidth="1"/>
    <col min="5" max="5" width="15.85546875" customWidth="1"/>
    <col min="6" max="6" width="15.140625" customWidth="1"/>
    <col min="7" max="7" width="19.85546875" customWidth="1"/>
    <col min="8" max="8" width="16.28515625" customWidth="1"/>
    <col min="9" max="9" width="17.140625" customWidth="1"/>
    <col min="10" max="10" width="15.140625" customWidth="1"/>
  </cols>
  <sheetData>
    <row r="1" spans="1:14" ht="51" customHeight="1" x14ac:dyDescent="0.25">
      <c r="A1" s="40">
        <v>1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4" ht="23.25" x14ac:dyDescent="0.35">
      <c r="A2" s="40"/>
      <c r="B2" s="39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5" customHeight="1" x14ac:dyDescent="0.35">
      <c r="A3" s="40"/>
      <c r="B3" s="39"/>
      <c r="I3" s="3"/>
      <c r="J3" s="3"/>
      <c r="K3" s="3"/>
      <c r="L3" s="3"/>
      <c r="M3" s="3"/>
      <c r="N3" s="3"/>
    </row>
    <row r="4" spans="1:14" ht="15" customHeight="1" x14ac:dyDescent="0.35">
      <c r="A4" s="40"/>
      <c r="B4" s="39"/>
      <c r="H4" s="3"/>
      <c r="I4" s="3"/>
      <c r="J4" s="3"/>
      <c r="K4" s="3"/>
    </row>
    <row r="5" spans="1:14" ht="18.75" customHeight="1" x14ac:dyDescent="0.35">
      <c r="A5" s="40"/>
      <c r="B5" s="39"/>
      <c r="C5" s="5" t="s">
        <v>0</v>
      </c>
      <c r="D5" s="6"/>
      <c r="E5" s="6"/>
      <c r="F5" s="7"/>
      <c r="G5" s="5" t="s">
        <v>1</v>
      </c>
    </row>
    <row r="6" spans="1:14" ht="16.5" customHeight="1" thickBot="1" x14ac:dyDescent="0.4">
      <c r="A6" s="40"/>
      <c r="B6" s="39"/>
      <c r="C6" s="8" t="s">
        <v>2</v>
      </c>
      <c r="F6" s="7"/>
      <c r="G6" s="7"/>
      <c r="H6" s="46" t="s">
        <v>3</v>
      </c>
      <c r="I6" s="47"/>
      <c r="J6" s="47"/>
    </row>
    <row r="7" spans="1:14" ht="16.5" customHeight="1" thickBot="1" x14ac:dyDescent="0.4">
      <c r="A7" s="40"/>
      <c r="B7" s="39"/>
      <c r="C7" s="44" t="s">
        <v>4</v>
      </c>
      <c r="D7" s="45"/>
      <c r="E7" s="9">
        <v>40000</v>
      </c>
      <c r="F7" s="7"/>
      <c r="G7" s="7"/>
      <c r="H7" s="10" t="s">
        <v>5</v>
      </c>
      <c r="I7" s="10" t="s">
        <v>6</v>
      </c>
      <c r="J7" s="11" t="s">
        <v>7</v>
      </c>
    </row>
    <row r="8" spans="1:14" ht="15.75" customHeight="1" thickBot="1" x14ac:dyDescent="0.4">
      <c r="A8" s="40"/>
      <c r="B8" s="39"/>
      <c r="C8" s="44" t="s">
        <v>8</v>
      </c>
      <c r="D8" s="45"/>
      <c r="E8" s="12">
        <v>3</v>
      </c>
      <c r="F8" s="13" t="s">
        <v>9</v>
      </c>
      <c r="G8" s="14" t="s">
        <v>10</v>
      </c>
      <c r="H8" s="15">
        <f>E11</f>
        <v>0</v>
      </c>
      <c r="I8" s="15">
        <f>E12</f>
        <v>0</v>
      </c>
      <c r="J8" s="16">
        <f>SUM(H8:I8)</f>
        <v>0</v>
      </c>
    </row>
    <row r="9" spans="1:14" ht="15.75" customHeight="1" thickBot="1" x14ac:dyDescent="0.4">
      <c r="A9" s="40"/>
      <c r="B9" s="39"/>
      <c r="G9" s="17" t="str">
        <f>"Próximos "&amp;(Edad_retiro-Edad)&amp;" años"</f>
        <v>Próximos 40 años</v>
      </c>
      <c r="H9" s="15">
        <f>SUM(F31:F90)</f>
        <v>93273.786407767053</v>
      </c>
      <c r="I9" s="15">
        <f>SUM(G31:G90)</f>
        <v>46636.893203883526</v>
      </c>
      <c r="J9" s="16">
        <f>SUM(H9:I9)</f>
        <v>139910.67961165059</v>
      </c>
    </row>
    <row r="10" spans="1:14" ht="15.75" customHeight="1" thickBot="1" x14ac:dyDescent="0.4">
      <c r="A10" s="40"/>
      <c r="B10" s="39"/>
      <c r="C10" s="44" t="s">
        <v>11</v>
      </c>
      <c r="D10" s="45"/>
      <c r="E10" s="18">
        <f>ContrInicial+Cont_inicial</f>
        <v>0</v>
      </c>
      <c r="F10" s="13"/>
      <c r="G10" s="17" t="s">
        <v>7</v>
      </c>
      <c r="H10" s="15">
        <f>H8+H9</f>
        <v>93273.786407767053</v>
      </c>
      <c r="I10" s="19">
        <f>I8+I9</f>
        <v>46636.893203883526</v>
      </c>
      <c r="J10" s="20">
        <f>SUM(H10:I10)</f>
        <v>139910.67961165059</v>
      </c>
    </row>
    <row r="11" spans="1:14" ht="15.75" customHeight="1" thickBot="1" x14ac:dyDescent="0.4">
      <c r="A11" s="40"/>
      <c r="B11" s="39"/>
      <c r="C11" s="44" t="s">
        <v>12</v>
      </c>
      <c r="D11" s="45"/>
      <c r="E11" s="18">
        <v>0</v>
      </c>
      <c r="F11" s="13"/>
      <c r="G11" s="17" t="s">
        <v>13</v>
      </c>
      <c r="H11" s="21">
        <f>SUM(H31:H90)</f>
        <v>559310.52792578051</v>
      </c>
      <c r="I11" s="22"/>
      <c r="J11" s="22"/>
    </row>
    <row r="12" spans="1:14" ht="15.75" customHeight="1" thickBot="1" x14ac:dyDescent="0.4">
      <c r="A12" s="40"/>
      <c r="B12" s="39"/>
      <c r="C12" s="44" t="s">
        <v>14</v>
      </c>
      <c r="D12" s="45"/>
      <c r="E12" s="18">
        <v>0</v>
      </c>
      <c r="F12" s="13"/>
      <c r="G12" s="17" t="s">
        <v>15</v>
      </c>
      <c r="H12" s="21">
        <f>H11+J10</f>
        <v>699221.20753743104</v>
      </c>
      <c r="I12" s="23"/>
      <c r="J12" s="23"/>
    </row>
    <row r="13" spans="1:14" ht="15.75" customHeight="1" thickBot="1" x14ac:dyDescent="0.4">
      <c r="A13" s="40"/>
      <c r="B13" s="39"/>
      <c r="C13" s="44" t="s">
        <v>16</v>
      </c>
      <c r="D13" s="45"/>
      <c r="E13" s="24">
        <v>6</v>
      </c>
      <c r="F13" s="13" t="s">
        <v>9</v>
      </c>
      <c r="G13" s="7"/>
      <c r="H13" s="7"/>
      <c r="J13" s="4"/>
    </row>
    <row r="14" spans="1:14" ht="15.75" customHeight="1" thickBot="1" x14ac:dyDescent="0.4">
      <c r="A14" s="40"/>
      <c r="B14" s="39"/>
      <c r="G14" s="25"/>
      <c r="H14" s="25"/>
      <c r="J14" s="26"/>
      <c r="N14">
        <f>1083/1.5</f>
        <v>722</v>
      </c>
    </row>
    <row r="15" spans="1:14" ht="15.75" customHeight="1" thickBot="1" x14ac:dyDescent="0.4">
      <c r="A15" s="40"/>
      <c r="B15" s="39"/>
      <c r="C15" s="44" t="s">
        <v>17</v>
      </c>
      <c r="D15" s="45"/>
      <c r="E15" s="24">
        <v>50</v>
      </c>
      <c r="F15" s="28" t="s">
        <v>9</v>
      </c>
      <c r="G15" s="25"/>
      <c r="H15" s="25"/>
    </row>
    <row r="16" spans="1:14" ht="15.75" customHeight="1" thickBot="1" x14ac:dyDescent="0.4">
      <c r="A16" s="40"/>
      <c r="B16" s="39"/>
      <c r="C16" s="44" t="s">
        <v>18</v>
      </c>
      <c r="D16" s="45"/>
      <c r="E16" s="24">
        <v>6</v>
      </c>
      <c r="F16" s="7" t="s">
        <v>9</v>
      </c>
      <c r="G16" s="7"/>
      <c r="H16" s="7"/>
    </row>
    <row r="17" spans="1:14" ht="15.75" customHeight="1" thickBot="1" x14ac:dyDescent="0.4">
      <c r="A17" s="40"/>
      <c r="B17" s="39"/>
      <c r="G17" s="25"/>
      <c r="H17" s="25"/>
      <c r="L17" s="4"/>
    </row>
    <row r="18" spans="1:14" ht="15.75" customHeight="1" thickBot="1" x14ac:dyDescent="0.4">
      <c r="A18" s="40"/>
      <c r="B18" s="39"/>
      <c r="C18" s="44" t="s">
        <v>19</v>
      </c>
      <c r="D18" s="45"/>
      <c r="E18" s="29">
        <v>25</v>
      </c>
      <c r="F18" s="7"/>
      <c r="G18" s="25"/>
      <c r="H18" s="25"/>
      <c r="L18" s="4"/>
    </row>
    <row r="19" spans="1:14" ht="15.75" customHeight="1" thickBot="1" x14ac:dyDescent="0.4">
      <c r="A19" s="40"/>
      <c r="B19" s="39"/>
      <c r="C19" s="44" t="s">
        <v>20</v>
      </c>
      <c r="D19" s="45"/>
      <c r="E19" s="29">
        <v>65</v>
      </c>
      <c r="F19" s="7"/>
      <c r="G19" s="25"/>
      <c r="H19" s="25"/>
      <c r="L19" s="4"/>
    </row>
    <row r="20" spans="1:14" ht="15.75" customHeight="1" thickBot="1" x14ac:dyDescent="0.4">
      <c r="A20" s="40"/>
      <c r="B20" s="39"/>
      <c r="C20" s="44" t="s">
        <v>21</v>
      </c>
      <c r="D20" s="45"/>
      <c r="E20" s="24">
        <v>7</v>
      </c>
      <c r="F20" s="13" t="s">
        <v>9</v>
      </c>
      <c r="G20" s="25"/>
      <c r="H20" s="25"/>
      <c r="K20" s="7"/>
      <c r="L20" s="4"/>
    </row>
    <row r="21" spans="1:14" ht="15.75" customHeight="1" thickBot="1" x14ac:dyDescent="0.4">
      <c r="A21" s="40"/>
      <c r="B21" s="39"/>
      <c r="C21" s="44" t="s">
        <v>22</v>
      </c>
      <c r="D21" s="45"/>
      <c r="E21" s="29">
        <v>1</v>
      </c>
    </row>
    <row r="22" spans="1:14" ht="15" customHeight="1" x14ac:dyDescent="0.35">
      <c r="A22" s="40"/>
      <c r="B22" s="39"/>
    </row>
    <row r="23" spans="1:14" ht="15" customHeight="1" x14ac:dyDescent="0.35">
      <c r="A23" s="40"/>
      <c r="B23" s="39"/>
    </row>
    <row r="24" spans="1:14" ht="15" customHeight="1" x14ac:dyDescent="0.35">
      <c r="A24" s="40"/>
      <c r="B24" s="39"/>
    </row>
    <row r="25" spans="1:14" ht="15" customHeight="1" x14ac:dyDescent="0.35">
      <c r="A25" s="40"/>
      <c r="B25" s="39"/>
    </row>
    <row r="26" spans="1:14" ht="15" customHeight="1" x14ac:dyDescent="0.35">
      <c r="A26" s="40"/>
      <c r="B26" s="39"/>
    </row>
    <row r="27" spans="1:14" ht="15" customHeight="1" x14ac:dyDescent="0.35">
      <c r="A27" s="40"/>
      <c r="B27" s="39"/>
    </row>
    <row r="28" spans="1:14" ht="15.75" customHeight="1" x14ac:dyDescent="0.35">
      <c r="A28" s="40"/>
      <c r="B28" s="39"/>
      <c r="D28" s="38"/>
      <c r="F28" s="3"/>
      <c r="G28" s="3"/>
      <c r="H28" s="3"/>
      <c r="I28" s="38"/>
      <c r="J28" s="3"/>
      <c r="K28" s="3"/>
      <c r="L28" s="3"/>
      <c r="M28" s="3"/>
      <c r="N28" s="3"/>
    </row>
    <row r="29" spans="1:14" ht="18.75" customHeight="1" x14ac:dyDescent="0.35">
      <c r="A29" s="40"/>
      <c r="B29" s="39"/>
      <c r="C29" s="5" t="s">
        <v>23</v>
      </c>
      <c r="D29" s="42"/>
      <c r="E29" s="35"/>
      <c r="H29" s="35"/>
      <c r="I29" s="41"/>
    </row>
    <row r="30" spans="1:14" ht="30" x14ac:dyDescent="0.35">
      <c r="A30" s="40"/>
      <c r="B30" s="39"/>
      <c r="C30" s="37" t="s">
        <v>24</v>
      </c>
      <c r="D30" s="31" t="s">
        <v>25</v>
      </c>
      <c r="E30" s="31" t="s">
        <v>26</v>
      </c>
      <c r="F30" s="31" t="s">
        <v>27</v>
      </c>
      <c r="G30" s="31" t="s">
        <v>28</v>
      </c>
      <c r="H30" s="32" t="s">
        <v>13</v>
      </c>
      <c r="I30" s="32" t="s">
        <v>29</v>
      </c>
      <c r="J30" s="30"/>
      <c r="K30" s="30"/>
      <c r="L30" s="30"/>
      <c r="M30" s="36"/>
      <c r="N30" s="36"/>
    </row>
    <row r="31" spans="1:14" ht="15.75" customHeight="1" x14ac:dyDescent="0.35">
      <c r="A31" s="40"/>
      <c r="B31" s="39"/>
      <c r="C31" s="27">
        <f>IF(Edad_retiro-Edad&gt;=A1,A1,"")</f>
        <v>1</v>
      </c>
      <c r="D31" s="3">
        <f t="shared" ref="D31:D62" si="0">IF(C31="","",Edad+C31-1)</f>
        <v>25</v>
      </c>
      <c r="E31" s="33">
        <f t="shared" ref="E31:E62" si="1">IF(C31="","",Ingreso_inicial*POWER((1+Aumento_anual/100),C31-1))</f>
        <v>40000</v>
      </c>
      <c r="F31" s="33">
        <f t="shared" ref="F31:F62" si="2">IF(C31="","",E31*Salario_retenido/100)</f>
        <v>2400</v>
      </c>
      <c r="G31" s="33">
        <f t="shared" ref="G31:G62" si="3">IF(C31="","",E31*Aporte_empleador/100*MIN(Salario_retenido,Max_aporte_em)/100)</f>
        <v>1200</v>
      </c>
      <c r="H31" s="33">
        <f>IF(C31="","",-FV(interes/100/Pagos_por_año,Pagos_por_año,E31+F31,E10)-(E31+F31+E10))</f>
        <v>3.637978807091713E-11</v>
      </c>
      <c r="I31" s="33">
        <f>IF(C31="","",E10+F31+G31+H31)</f>
        <v>3600.0000000000364</v>
      </c>
      <c r="J31" s="34"/>
      <c r="M31" s="43"/>
      <c r="N31" s="43"/>
    </row>
    <row r="32" spans="1:14" ht="15.75" customHeight="1" x14ac:dyDescent="0.35">
      <c r="A32" s="40"/>
      <c r="B32" s="39"/>
      <c r="C32" s="27">
        <f t="shared" ref="C32:C62" si="4">IF(Edad_retiro-Edad&gt;=A32,A32,"")</f>
        <v>0</v>
      </c>
      <c r="D32" s="3">
        <f t="shared" si="0"/>
        <v>24</v>
      </c>
      <c r="E32" s="33">
        <f t="shared" si="1"/>
        <v>38834.951456310679</v>
      </c>
      <c r="F32" s="33">
        <f t="shared" si="2"/>
        <v>2330.0970873786409</v>
      </c>
      <c r="G32" s="33">
        <f t="shared" si="3"/>
        <v>1165.0485436893205</v>
      </c>
      <c r="H32" s="33">
        <f t="shared" ref="H32:H70" si="5">IF(C32="","",-FV(interes/100/Pagos_por_año,Pagos_por_año,E32+F32,I31)-(E32+F32+I31))</f>
        <v>252.00000000003638</v>
      </c>
      <c r="I32" s="33">
        <f t="shared" ref="I32:I70" si="6">IF(C32="","",I31+F32+G32+H32)</f>
        <v>7347.1456310680342</v>
      </c>
      <c r="M32" s="43"/>
      <c r="N32" s="43"/>
    </row>
    <row r="33" spans="1:14" ht="15.75" customHeight="1" x14ac:dyDescent="0.35">
      <c r="A33" s="40"/>
      <c r="B33" s="39"/>
      <c r="C33" s="27">
        <f t="shared" si="4"/>
        <v>0</v>
      </c>
      <c r="D33" s="3">
        <f t="shared" si="0"/>
        <v>24</v>
      </c>
      <c r="E33" s="33">
        <f t="shared" si="1"/>
        <v>38834.951456310679</v>
      </c>
      <c r="F33" s="33">
        <f t="shared" si="2"/>
        <v>2330.0970873786409</v>
      </c>
      <c r="G33" s="33">
        <f t="shared" si="3"/>
        <v>1165.0485436893205</v>
      </c>
      <c r="H33" s="33">
        <f t="shared" si="5"/>
        <v>514.30019417479343</v>
      </c>
      <c r="I33" s="33">
        <f t="shared" si="6"/>
        <v>11356.591456310791</v>
      </c>
      <c r="M33" s="43"/>
      <c r="N33" s="43"/>
    </row>
    <row r="34" spans="1:14" ht="15.75" customHeight="1" x14ac:dyDescent="0.35">
      <c r="A34" s="40"/>
      <c r="B34" s="39"/>
      <c r="C34" s="27">
        <f t="shared" si="4"/>
        <v>0</v>
      </c>
      <c r="D34" s="3">
        <f t="shared" si="0"/>
        <v>24</v>
      </c>
      <c r="E34" s="33">
        <f t="shared" si="1"/>
        <v>38834.951456310679</v>
      </c>
      <c r="F34" s="33">
        <f t="shared" si="2"/>
        <v>2330.0970873786409</v>
      </c>
      <c r="G34" s="33">
        <f t="shared" si="3"/>
        <v>1165.0485436893205</v>
      </c>
      <c r="H34" s="33">
        <f t="shared" si="5"/>
        <v>794.96140194179316</v>
      </c>
      <c r="I34" s="33">
        <f t="shared" si="6"/>
        <v>15646.698489320544</v>
      </c>
      <c r="M34" s="43"/>
      <c r="N34" s="43"/>
    </row>
    <row r="35" spans="1:14" ht="15.75" customHeight="1" x14ac:dyDescent="0.35">
      <c r="A35" s="40"/>
      <c r="B35" s="39"/>
      <c r="C35" s="27">
        <f t="shared" si="4"/>
        <v>0</v>
      </c>
      <c r="D35" s="3">
        <f t="shared" si="0"/>
        <v>24</v>
      </c>
      <c r="E35" s="33">
        <f t="shared" si="1"/>
        <v>38834.951456310679</v>
      </c>
      <c r="F35" s="33">
        <f t="shared" si="2"/>
        <v>2330.0970873786409</v>
      </c>
      <c r="G35" s="33">
        <f t="shared" si="3"/>
        <v>1165.0485436893205</v>
      </c>
      <c r="H35" s="33">
        <f t="shared" si="5"/>
        <v>1095.2688942524765</v>
      </c>
      <c r="I35" s="33">
        <f t="shared" si="6"/>
        <v>20237.113014640985</v>
      </c>
      <c r="M35" s="43"/>
      <c r="N35" s="43"/>
    </row>
    <row r="36" spans="1:14" ht="15.75" customHeight="1" x14ac:dyDescent="0.35">
      <c r="A36" s="40"/>
      <c r="B36" s="39"/>
      <c r="C36" s="27">
        <f t="shared" si="4"/>
        <v>0</v>
      </c>
      <c r="D36" s="3">
        <f t="shared" si="0"/>
        <v>24</v>
      </c>
      <c r="E36" s="33">
        <f t="shared" si="1"/>
        <v>38834.951456310679</v>
      </c>
      <c r="F36" s="33">
        <f t="shared" si="2"/>
        <v>2330.0970873786409</v>
      </c>
      <c r="G36" s="33">
        <f t="shared" si="3"/>
        <v>1165.0485436893205</v>
      </c>
      <c r="H36" s="33">
        <f t="shared" si="5"/>
        <v>1416.5979110249027</v>
      </c>
      <c r="I36" s="33">
        <f t="shared" si="6"/>
        <v>25148.856556733852</v>
      </c>
      <c r="M36" s="43"/>
      <c r="N36" s="43"/>
    </row>
    <row r="37" spans="1:14" ht="15.75" customHeight="1" x14ac:dyDescent="0.35">
      <c r="A37" s="40"/>
      <c r="B37" s="39"/>
      <c r="C37" s="27">
        <f t="shared" si="4"/>
        <v>0</v>
      </c>
      <c r="D37" s="3">
        <f t="shared" si="0"/>
        <v>24</v>
      </c>
      <c r="E37" s="33">
        <f t="shared" si="1"/>
        <v>38834.951456310679</v>
      </c>
      <c r="F37" s="33">
        <f t="shared" si="2"/>
        <v>2330.0970873786409</v>
      </c>
      <c r="G37" s="33">
        <f t="shared" si="3"/>
        <v>1165.0485436893205</v>
      </c>
      <c r="H37" s="33">
        <f t="shared" si="5"/>
        <v>1760.4199589714117</v>
      </c>
      <c r="I37" s="33">
        <f t="shared" si="6"/>
        <v>30404.422146773228</v>
      </c>
      <c r="M37" s="43"/>
      <c r="N37" s="43"/>
    </row>
    <row r="38" spans="1:14" ht="15.75" customHeight="1" x14ac:dyDescent="0.35">
      <c r="A38" s="40"/>
      <c r="B38" s="39"/>
      <c r="C38" s="27">
        <f t="shared" si="4"/>
        <v>0</v>
      </c>
      <c r="D38" s="3">
        <f t="shared" si="0"/>
        <v>24</v>
      </c>
      <c r="E38" s="33">
        <f t="shared" si="1"/>
        <v>38834.951456310679</v>
      </c>
      <c r="F38" s="33">
        <f t="shared" si="2"/>
        <v>2330.0970873786409</v>
      </c>
      <c r="G38" s="33">
        <f t="shared" si="3"/>
        <v>1165.0485436893205</v>
      </c>
      <c r="H38" s="33">
        <f t="shared" si="5"/>
        <v>2128.3095502741635</v>
      </c>
      <c r="I38" s="33">
        <f t="shared" si="6"/>
        <v>36027.877328115355</v>
      </c>
      <c r="M38" s="43"/>
      <c r="N38" s="43"/>
    </row>
    <row r="39" spans="1:14" ht="15.75" customHeight="1" x14ac:dyDescent="0.35">
      <c r="A39" s="40"/>
      <c r="B39" s="39"/>
      <c r="C39" s="27">
        <f t="shared" si="4"/>
        <v>0</v>
      </c>
      <c r="D39" s="3">
        <f t="shared" si="0"/>
        <v>24</v>
      </c>
      <c r="E39" s="33">
        <f t="shared" si="1"/>
        <v>38834.951456310679</v>
      </c>
      <c r="F39" s="33">
        <f t="shared" si="2"/>
        <v>2330.0970873786409</v>
      </c>
      <c r="G39" s="33">
        <f t="shared" si="3"/>
        <v>1165.0485436893205</v>
      </c>
      <c r="H39" s="33">
        <f t="shared" si="5"/>
        <v>2521.9514129681047</v>
      </c>
      <c r="I39" s="33">
        <f t="shared" si="6"/>
        <v>42044.974372151424</v>
      </c>
      <c r="M39" s="43"/>
      <c r="N39" s="43"/>
    </row>
    <row r="40" spans="1:14" ht="15.75" customHeight="1" x14ac:dyDescent="0.35">
      <c r="A40" s="40"/>
      <c r="B40" s="39"/>
      <c r="C40" s="27">
        <f t="shared" si="4"/>
        <v>0</v>
      </c>
      <c r="D40" s="3">
        <f t="shared" si="0"/>
        <v>24</v>
      </c>
      <c r="E40" s="33">
        <f t="shared" si="1"/>
        <v>38834.951456310679</v>
      </c>
      <c r="F40" s="33">
        <f t="shared" si="2"/>
        <v>2330.0970873786409</v>
      </c>
      <c r="G40" s="33">
        <f t="shared" si="3"/>
        <v>1165.0485436893205</v>
      </c>
      <c r="H40" s="33">
        <f t="shared" si="5"/>
        <v>2943.1482060506387</v>
      </c>
      <c r="I40" s="33">
        <f t="shared" si="6"/>
        <v>48483.268209270027</v>
      </c>
      <c r="M40" s="43"/>
      <c r="N40" s="43"/>
    </row>
    <row r="41" spans="1:14" ht="15.75" customHeight="1" x14ac:dyDescent="0.35">
      <c r="A41" s="40"/>
      <c r="B41" s="39"/>
      <c r="C41" s="27">
        <f t="shared" si="4"/>
        <v>0</v>
      </c>
      <c r="D41" s="3">
        <f t="shared" si="0"/>
        <v>24</v>
      </c>
      <c r="E41" s="33">
        <f t="shared" si="1"/>
        <v>38834.951456310679</v>
      </c>
      <c r="F41" s="33">
        <f t="shared" si="2"/>
        <v>2330.0970873786409</v>
      </c>
      <c r="G41" s="33">
        <f t="shared" si="3"/>
        <v>1165.0485436893205</v>
      </c>
      <c r="H41" s="33">
        <f t="shared" si="5"/>
        <v>3393.8287746489368</v>
      </c>
      <c r="I41" s="33">
        <f t="shared" si="6"/>
        <v>55372.242614986928</v>
      </c>
      <c r="M41" s="43"/>
      <c r="N41" s="43"/>
    </row>
    <row r="42" spans="1:14" ht="15.75" customHeight="1" x14ac:dyDescent="0.35">
      <c r="A42" s="40"/>
      <c r="B42" s="39"/>
      <c r="C42" s="27">
        <f t="shared" si="4"/>
        <v>0</v>
      </c>
      <c r="D42" s="3">
        <f t="shared" si="0"/>
        <v>24</v>
      </c>
      <c r="E42" s="33">
        <f t="shared" si="1"/>
        <v>38834.951456310679</v>
      </c>
      <c r="F42" s="33">
        <f t="shared" si="2"/>
        <v>2330.0970873786409</v>
      </c>
      <c r="G42" s="33">
        <f t="shared" si="3"/>
        <v>1165.0485436893205</v>
      </c>
      <c r="H42" s="33">
        <f t="shared" si="5"/>
        <v>3876.0569830491295</v>
      </c>
      <c r="I42" s="33">
        <f t="shared" si="6"/>
        <v>62743.445229104022</v>
      </c>
      <c r="M42" s="43"/>
      <c r="N42" s="43"/>
    </row>
    <row r="43" spans="1:14" ht="15.75" customHeight="1" x14ac:dyDescent="0.35">
      <c r="A43" s="40"/>
      <c r="B43" s="39"/>
      <c r="C43" s="27">
        <f t="shared" si="4"/>
        <v>0</v>
      </c>
      <c r="D43" s="3">
        <f t="shared" si="0"/>
        <v>24</v>
      </c>
      <c r="E43" s="33">
        <f t="shared" si="1"/>
        <v>38834.951456310679</v>
      </c>
      <c r="F43" s="33">
        <f t="shared" si="2"/>
        <v>2330.0970873786409</v>
      </c>
      <c r="G43" s="33">
        <f t="shared" si="3"/>
        <v>1165.0485436893205</v>
      </c>
      <c r="H43" s="33">
        <f t="shared" si="5"/>
        <v>4392.0411660373356</v>
      </c>
      <c r="I43" s="33">
        <f t="shared" si="6"/>
        <v>70630.632026209321</v>
      </c>
      <c r="M43" s="43"/>
      <c r="N43" s="43"/>
    </row>
    <row r="44" spans="1:14" ht="15.75" customHeight="1" x14ac:dyDescent="0.35">
      <c r="A44" s="40"/>
      <c r="B44" s="39"/>
      <c r="C44" s="27">
        <f t="shared" si="4"/>
        <v>0</v>
      </c>
      <c r="D44" s="3">
        <f t="shared" si="0"/>
        <v>24</v>
      </c>
      <c r="E44" s="33">
        <f t="shared" si="1"/>
        <v>38834.951456310679</v>
      </c>
      <c r="F44" s="33">
        <f t="shared" si="2"/>
        <v>2330.0970873786409</v>
      </c>
      <c r="G44" s="33">
        <f t="shared" si="3"/>
        <v>1165.0485436893205</v>
      </c>
      <c r="H44" s="33">
        <f t="shared" si="5"/>
        <v>4944.1442418346851</v>
      </c>
      <c r="I44" s="33">
        <f t="shared" si="6"/>
        <v>79069.921899111971</v>
      </c>
      <c r="M44" s="43"/>
      <c r="N44" s="43"/>
    </row>
    <row r="45" spans="1:14" ht="15.75" customHeight="1" x14ac:dyDescent="0.35">
      <c r="A45" s="40"/>
      <c r="B45" s="39"/>
      <c r="C45" s="27">
        <f t="shared" si="4"/>
        <v>0</v>
      </c>
      <c r="D45" s="3">
        <f t="shared" si="0"/>
        <v>24</v>
      </c>
      <c r="E45" s="33">
        <f t="shared" si="1"/>
        <v>38834.951456310679</v>
      </c>
      <c r="F45" s="33">
        <f t="shared" si="2"/>
        <v>2330.0970873786409</v>
      </c>
      <c r="G45" s="33">
        <f t="shared" si="3"/>
        <v>1165.0485436893205</v>
      </c>
      <c r="H45" s="33">
        <f t="shared" si="5"/>
        <v>5534.8945329378912</v>
      </c>
      <c r="I45" s="33">
        <f t="shared" si="6"/>
        <v>88099.962063117826</v>
      </c>
      <c r="M45" s="43"/>
      <c r="N45" s="43"/>
    </row>
    <row r="46" spans="1:14" ht="15.75" customHeight="1" x14ac:dyDescent="0.35">
      <c r="A46" s="40"/>
      <c r="B46" s="39"/>
      <c r="C46" s="27">
        <f t="shared" si="4"/>
        <v>0</v>
      </c>
      <c r="D46" s="3">
        <f t="shared" si="0"/>
        <v>24</v>
      </c>
      <c r="E46" s="33">
        <f t="shared" si="1"/>
        <v>38834.951456310679</v>
      </c>
      <c r="F46" s="33">
        <f t="shared" si="2"/>
        <v>2330.0970873786409</v>
      </c>
      <c r="G46" s="33">
        <f t="shared" si="3"/>
        <v>1165.0485436893205</v>
      </c>
      <c r="H46" s="33">
        <f t="shared" si="5"/>
        <v>6166.9973444182979</v>
      </c>
      <c r="I46" s="33">
        <f t="shared" si="6"/>
        <v>97762.105038604088</v>
      </c>
      <c r="M46" s="43"/>
      <c r="N46" s="43"/>
    </row>
    <row r="47" spans="1:14" ht="15.75" customHeight="1" x14ac:dyDescent="0.35">
      <c r="A47" s="40"/>
      <c r="B47" s="39"/>
      <c r="C47" s="27">
        <f t="shared" si="4"/>
        <v>0</v>
      </c>
      <c r="D47" s="3">
        <f t="shared" si="0"/>
        <v>24</v>
      </c>
      <c r="E47" s="33">
        <f t="shared" si="1"/>
        <v>38834.951456310679</v>
      </c>
      <c r="F47" s="33">
        <f t="shared" si="2"/>
        <v>2330.0970873786409</v>
      </c>
      <c r="G47" s="33">
        <f t="shared" si="3"/>
        <v>1165.0485436893205</v>
      </c>
      <c r="H47" s="33">
        <f t="shared" si="5"/>
        <v>6843.3473527023161</v>
      </c>
      <c r="I47" s="33">
        <f t="shared" si="6"/>
        <v>108100.59802237437</v>
      </c>
      <c r="M47" s="43"/>
      <c r="N47" s="43"/>
    </row>
    <row r="48" spans="1:14" ht="15.75" customHeight="1" x14ac:dyDescent="0.35">
      <c r="A48" s="40"/>
      <c r="B48" s="39"/>
      <c r="C48" s="27">
        <f t="shared" si="4"/>
        <v>0</v>
      </c>
      <c r="D48" s="3">
        <f t="shared" si="0"/>
        <v>24</v>
      </c>
      <c r="E48" s="33">
        <f t="shared" si="1"/>
        <v>38834.951456310679</v>
      </c>
      <c r="F48" s="33">
        <f t="shared" si="2"/>
        <v>2330.0970873786409</v>
      </c>
      <c r="G48" s="33">
        <f t="shared" si="3"/>
        <v>1165.0485436893205</v>
      </c>
      <c r="H48" s="33">
        <f t="shared" si="5"/>
        <v>7567.0418615662493</v>
      </c>
      <c r="I48" s="33">
        <f t="shared" si="6"/>
        <v>119162.78551500858</v>
      </c>
      <c r="M48" s="43"/>
      <c r="N48" s="43"/>
    </row>
    <row r="49" spans="1:14" ht="15.75" customHeight="1" x14ac:dyDescent="0.35">
      <c r="A49" s="40"/>
      <c r="B49" s="39"/>
      <c r="C49" s="27">
        <f t="shared" si="4"/>
        <v>0</v>
      </c>
      <c r="D49" s="3">
        <f t="shared" si="0"/>
        <v>24</v>
      </c>
      <c r="E49" s="33">
        <f t="shared" si="1"/>
        <v>38834.951456310679</v>
      </c>
      <c r="F49" s="33">
        <f t="shared" si="2"/>
        <v>2330.0970873786409</v>
      </c>
      <c r="G49" s="33">
        <f t="shared" si="3"/>
        <v>1165.0485436893205</v>
      </c>
      <c r="H49" s="33">
        <f t="shared" si="5"/>
        <v>8341.39498605064</v>
      </c>
      <c r="I49" s="33">
        <f t="shared" si="6"/>
        <v>130999.32613212719</v>
      </c>
      <c r="M49" s="43"/>
      <c r="N49" s="43"/>
    </row>
    <row r="50" spans="1:14" ht="15.75" customHeight="1" x14ac:dyDescent="0.35">
      <c r="A50" s="40"/>
      <c r="B50" s="39"/>
      <c r="C50" s="27">
        <f t="shared" si="4"/>
        <v>0</v>
      </c>
      <c r="D50" s="3">
        <f t="shared" si="0"/>
        <v>24</v>
      </c>
      <c r="E50" s="33">
        <f t="shared" si="1"/>
        <v>38834.951456310679</v>
      </c>
      <c r="F50" s="33">
        <f t="shared" si="2"/>
        <v>2330.0970873786409</v>
      </c>
      <c r="G50" s="33">
        <f t="shared" si="3"/>
        <v>1165.0485436893205</v>
      </c>
      <c r="H50" s="33">
        <f t="shared" si="5"/>
        <v>9169.9528292489413</v>
      </c>
      <c r="I50" s="33">
        <f t="shared" si="6"/>
        <v>143664.42459244406</v>
      </c>
      <c r="M50" s="43"/>
      <c r="N50" s="43"/>
    </row>
    <row r="51" spans="1:14" ht="15.75" customHeight="1" x14ac:dyDescent="0.35">
      <c r="A51" s="40"/>
      <c r="B51" s="39"/>
      <c r="C51" s="27">
        <f t="shared" si="4"/>
        <v>0</v>
      </c>
      <c r="D51" s="3">
        <f t="shared" si="0"/>
        <v>24</v>
      </c>
      <c r="E51" s="33">
        <f t="shared" si="1"/>
        <v>38834.951456310679</v>
      </c>
      <c r="F51" s="33">
        <f t="shared" si="2"/>
        <v>2330.0970873786409</v>
      </c>
      <c r="G51" s="33">
        <f t="shared" si="3"/>
        <v>1165.0485436893205</v>
      </c>
      <c r="H51" s="33">
        <f t="shared" si="5"/>
        <v>10056.509721471113</v>
      </c>
      <c r="I51" s="33">
        <f t="shared" si="6"/>
        <v>157216.07994498312</v>
      </c>
      <c r="M51" s="43"/>
      <c r="N51" s="43"/>
    </row>
    <row r="52" spans="1:14" ht="15.75" customHeight="1" x14ac:dyDescent="0.35">
      <c r="A52" s="40"/>
      <c r="B52" s="39"/>
      <c r="C52" s="27">
        <f t="shared" si="4"/>
        <v>0</v>
      </c>
      <c r="D52" s="3">
        <f t="shared" si="0"/>
        <v>24</v>
      </c>
      <c r="E52" s="33">
        <f t="shared" si="1"/>
        <v>38834.951456310679</v>
      </c>
      <c r="F52" s="33">
        <f t="shared" si="2"/>
        <v>2330.0970873786409</v>
      </c>
      <c r="G52" s="33">
        <f t="shared" si="3"/>
        <v>1165.0485436893205</v>
      </c>
      <c r="H52" s="33">
        <f t="shared" si="5"/>
        <v>11005.125596148893</v>
      </c>
      <c r="I52" s="33">
        <f t="shared" si="6"/>
        <v>171716.35117219997</v>
      </c>
      <c r="M52" s="43"/>
      <c r="N52" s="43"/>
    </row>
    <row r="53" spans="1:14" ht="15.75" customHeight="1" x14ac:dyDescent="0.35">
      <c r="A53" s="40"/>
      <c r="B53" s="39"/>
      <c r="C53" s="27">
        <f t="shared" si="4"/>
        <v>0</v>
      </c>
      <c r="D53" s="3">
        <f t="shared" si="0"/>
        <v>24</v>
      </c>
      <c r="E53" s="33">
        <f t="shared" si="1"/>
        <v>38834.951456310679</v>
      </c>
      <c r="F53" s="33">
        <f t="shared" si="2"/>
        <v>2330.0970873786409</v>
      </c>
      <c r="G53" s="33">
        <f t="shared" si="3"/>
        <v>1165.0485436893205</v>
      </c>
      <c r="H53" s="33">
        <f t="shared" si="5"/>
        <v>12020.144582054025</v>
      </c>
      <c r="I53" s="33">
        <f t="shared" si="6"/>
        <v>187231.64138532194</v>
      </c>
      <c r="M53" s="43"/>
      <c r="N53" s="43"/>
    </row>
    <row r="54" spans="1:14" ht="15.75" customHeight="1" x14ac:dyDescent="0.35">
      <c r="A54" s="40"/>
      <c r="B54" s="39"/>
      <c r="C54" s="27">
        <f t="shared" si="4"/>
        <v>0</v>
      </c>
      <c r="D54" s="3">
        <f t="shared" si="0"/>
        <v>24</v>
      </c>
      <c r="E54" s="33">
        <f t="shared" si="1"/>
        <v>38834.951456310679</v>
      </c>
      <c r="F54" s="33">
        <f t="shared" si="2"/>
        <v>2330.0970873786409</v>
      </c>
      <c r="G54" s="33">
        <f t="shared" si="3"/>
        <v>1165.0485436893205</v>
      </c>
      <c r="H54" s="33">
        <f t="shared" si="5"/>
        <v>13106.214896972582</v>
      </c>
      <c r="I54" s="33">
        <f t="shared" si="6"/>
        <v>203833.00191336247</v>
      </c>
      <c r="M54" s="43"/>
      <c r="N54" s="43"/>
    </row>
    <row r="55" spans="1:14" ht="15.75" customHeight="1" x14ac:dyDescent="0.35">
      <c r="A55" s="40"/>
      <c r="B55" s="39"/>
      <c r="C55" s="27">
        <f t="shared" si="4"/>
        <v>0</v>
      </c>
      <c r="D55" s="3">
        <f t="shared" si="0"/>
        <v>24</v>
      </c>
      <c r="E55" s="33">
        <f t="shared" si="1"/>
        <v>38834.951456310679</v>
      </c>
      <c r="F55" s="33">
        <f t="shared" si="2"/>
        <v>2330.0970873786409</v>
      </c>
      <c r="G55" s="33">
        <f t="shared" si="3"/>
        <v>1165.0485436893205</v>
      </c>
      <c r="H55" s="33">
        <f t="shared" si="5"/>
        <v>14268.310133935447</v>
      </c>
      <c r="I55" s="33">
        <f t="shared" si="6"/>
        <v>221596.45767836587</v>
      </c>
      <c r="M55" s="43"/>
      <c r="N55" s="43"/>
    </row>
    <row r="56" spans="1:14" ht="15.75" customHeight="1" x14ac:dyDescent="0.35">
      <c r="A56" s="40"/>
      <c r="B56" s="39"/>
      <c r="C56" s="27">
        <f t="shared" si="4"/>
        <v>0</v>
      </c>
      <c r="D56" s="3">
        <f t="shared" si="0"/>
        <v>24</v>
      </c>
      <c r="E56" s="33">
        <f t="shared" si="1"/>
        <v>38834.951456310679</v>
      </c>
      <c r="F56" s="33">
        <f t="shared" si="2"/>
        <v>2330.0970873786409</v>
      </c>
      <c r="G56" s="33">
        <f t="shared" si="3"/>
        <v>1165.0485436893205</v>
      </c>
      <c r="H56" s="33">
        <f t="shared" si="5"/>
        <v>15511.752037485654</v>
      </c>
      <c r="I56" s="33">
        <f t="shared" si="6"/>
        <v>240603.35534691947</v>
      </c>
      <c r="M56" s="43"/>
      <c r="N56" s="43"/>
    </row>
    <row r="57" spans="1:14" ht="15.75" customHeight="1" x14ac:dyDescent="0.35">
      <c r="A57" s="40"/>
      <c r="B57" s="39"/>
      <c r="C57" s="27">
        <f t="shared" si="4"/>
        <v>0</v>
      </c>
      <c r="D57" s="3">
        <f t="shared" si="0"/>
        <v>24</v>
      </c>
      <c r="E57" s="33">
        <f t="shared" si="1"/>
        <v>38834.951456310679</v>
      </c>
      <c r="F57" s="33">
        <f t="shared" si="2"/>
        <v>2330.0970873786409</v>
      </c>
      <c r="G57" s="33">
        <f t="shared" si="3"/>
        <v>1165.0485436893205</v>
      </c>
      <c r="H57" s="33">
        <f t="shared" si="5"/>
        <v>16842.234874284419</v>
      </c>
      <c r="I57" s="33">
        <f t="shared" si="6"/>
        <v>260940.73585227184</v>
      </c>
      <c r="M57" s="43"/>
      <c r="N57" s="43"/>
    </row>
    <row r="58" spans="1:14" ht="15.75" customHeight="1" x14ac:dyDescent="0.35">
      <c r="A58" s="40"/>
      <c r="B58" s="39"/>
      <c r="C58" s="27">
        <f t="shared" si="4"/>
        <v>0</v>
      </c>
      <c r="D58" s="3">
        <f t="shared" si="0"/>
        <v>24</v>
      </c>
      <c r="E58" s="33">
        <f t="shared" si="1"/>
        <v>38834.951456310679</v>
      </c>
      <c r="F58" s="33">
        <f t="shared" si="2"/>
        <v>2330.0970873786409</v>
      </c>
      <c r="G58" s="33">
        <f t="shared" si="3"/>
        <v>1165.0485436893205</v>
      </c>
      <c r="H58" s="33">
        <f t="shared" si="5"/>
        <v>18265.851509659085</v>
      </c>
      <c r="I58" s="33">
        <f t="shared" si="6"/>
        <v>282701.73299299885</v>
      </c>
      <c r="M58" s="43"/>
      <c r="N58" s="43"/>
    </row>
    <row r="59" spans="1:14" ht="15.75" customHeight="1" x14ac:dyDescent="0.35">
      <c r="A59" s="40"/>
      <c r="B59" s="39"/>
      <c r="C59" s="27">
        <f t="shared" si="4"/>
        <v>0</v>
      </c>
      <c r="D59" s="3">
        <f t="shared" si="0"/>
        <v>24</v>
      </c>
      <c r="E59" s="33">
        <f t="shared" si="1"/>
        <v>38834.951456310679</v>
      </c>
      <c r="F59" s="33">
        <f t="shared" si="2"/>
        <v>2330.0970873786409</v>
      </c>
      <c r="G59" s="33">
        <f t="shared" si="3"/>
        <v>1165.0485436893205</v>
      </c>
      <c r="H59" s="33">
        <f t="shared" si="5"/>
        <v>19789.121309509967</v>
      </c>
      <c r="I59" s="33">
        <f t="shared" si="6"/>
        <v>305985.99993357674</v>
      </c>
      <c r="M59" s="43"/>
      <c r="N59" s="43"/>
    </row>
    <row r="60" spans="1:14" ht="15.75" customHeight="1" x14ac:dyDescent="0.35">
      <c r="A60" s="40"/>
      <c r="B60" s="39"/>
      <c r="C60" s="27">
        <f t="shared" si="4"/>
        <v>0</v>
      </c>
      <c r="D60" s="3">
        <f t="shared" si="0"/>
        <v>24</v>
      </c>
      <c r="E60" s="33">
        <f t="shared" si="1"/>
        <v>38834.951456310679</v>
      </c>
      <c r="F60" s="33">
        <f t="shared" si="2"/>
        <v>2330.0970873786409</v>
      </c>
      <c r="G60" s="33">
        <f t="shared" si="3"/>
        <v>1165.0485436893205</v>
      </c>
      <c r="H60" s="33">
        <f t="shared" si="5"/>
        <v>21419.019995350449</v>
      </c>
      <c r="I60" s="33">
        <f t="shared" si="6"/>
        <v>330900.1655599951</v>
      </c>
      <c r="M60" s="43"/>
      <c r="N60" s="43"/>
    </row>
    <row r="61" spans="1:14" ht="15.75" customHeight="1" x14ac:dyDescent="0.35">
      <c r="A61" s="40"/>
      <c r="B61" s="39"/>
      <c r="C61" s="27">
        <f t="shared" si="4"/>
        <v>0</v>
      </c>
      <c r="D61" s="3">
        <f t="shared" si="0"/>
        <v>24</v>
      </c>
      <c r="E61" s="33">
        <f t="shared" si="1"/>
        <v>38834.951456310679</v>
      </c>
      <c r="F61" s="33">
        <f t="shared" si="2"/>
        <v>2330.0970873786409</v>
      </c>
      <c r="G61" s="33">
        <f t="shared" si="3"/>
        <v>1165.0485436893205</v>
      </c>
      <c r="H61" s="33">
        <f t="shared" si="5"/>
        <v>23163.011589199712</v>
      </c>
      <c r="I61" s="33">
        <f t="shared" si="6"/>
        <v>357558.32278026274</v>
      </c>
      <c r="M61" s="43"/>
      <c r="N61" s="43"/>
    </row>
    <row r="62" spans="1:14" ht="15.75" customHeight="1" x14ac:dyDescent="0.35">
      <c r="A62" s="40"/>
      <c r="B62" s="39"/>
      <c r="C62" s="27">
        <f t="shared" si="4"/>
        <v>0</v>
      </c>
      <c r="D62" s="3">
        <f t="shared" si="0"/>
        <v>24</v>
      </c>
      <c r="E62" s="33">
        <f t="shared" si="1"/>
        <v>38834.951456310679</v>
      </c>
      <c r="F62" s="33">
        <f t="shared" si="2"/>
        <v>2330.0970873786409</v>
      </c>
      <c r="G62" s="33">
        <f t="shared" si="3"/>
        <v>1165.0485436893205</v>
      </c>
      <c r="H62" s="33">
        <f t="shared" si="5"/>
        <v>25029.082594618492</v>
      </c>
      <c r="I62" s="33">
        <f t="shared" si="6"/>
        <v>386082.55100594915</v>
      </c>
      <c r="M62" s="43"/>
      <c r="N62" s="43"/>
    </row>
    <row r="63" spans="1:14" ht="15.75" customHeight="1" x14ac:dyDescent="0.35">
      <c r="A63" s="40"/>
      <c r="B63" s="39"/>
      <c r="C63" s="27">
        <f t="shared" ref="C63:C70" si="7">IF(Edad_retiro-Edad&gt;=A63,A63,"")</f>
        <v>0</v>
      </c>
      <c r="D63" s="3">
        <f t="shared" ref="D63:D70" si="8">IF(C63="","",Edad+C63-1)</f>
        <v>24</v>
      </c>
      <c r="E63" s="33">
        <f t="shared" ref="E63:E70" si="9">IF(C63="","",Ingreso_inicial*POWER((1+Aumento_anual/100),C63-1))</f>
        <v>38834.951456310679</v>
      </c>
      <c r="F63" s="33">
        <f t="shared" ref="F63:F70" si="10">IF(C63="","",E63*Salario_retenido/100)</f>
        <v>2330.0970873786409</v>
      </c>
      <c r="G63" s="33">
        <f t="shared" ref="G63:G70" si="11">IF(C63="","",E63*Aporte_empleador/100*MIN(Salario_retenido,Max_aporte_em)/100)</f>
        <v>1165.0485436893205</v>
      </c>
      <c r="H63" s="33">
        <f t="shared" si="5"/>
        <v>27025.7785704165</v>
      </c>
      <c r="I63" s="33">
        <f t="shared" si="6"/>
        <v>416603.47520743357</v>
      </c>
      <c r="M63" s="43"/>
      <c r="N63" s="43"/>
    </row>
    <row r="64" spans="1:14" ht="15.75" customHeight="1" x14ac:dyDescent="0.35">
      <c r="A64" s="40"/>
      <c r="B64" s="39"/>
      <c r="C64" s="27">
        <f t="shared" si="7"/>
        <v>0</v>
      </c>
      <c r="D64" s="3">
        <f t="shared" si="8"/>
        <v>24</v>
      </c>
      <c r="E64" s="33">
        <f t="shared" si="9"/>
        <v>38834.951456310679</v>
      </c>
      <c r="F64" s="33">
        <f t="shared" si="10"/>
        <v>2330.0970873786409</v>
      </c>
      <c r="G64" s="33">
        <f t="shared" si="11"/>
        <v>1165.0485436893205</v>
      </c>
      <c r="H64" s="33">
        <f t="shared" si="5"/>
        <v>29162.243264520424</v>
      </c>
      <c r="I64" s="33">
        <f t="shared" si="6"/>
        <v>449260.86410302192</v>
      </c>
      <c r="M64" s="43"/>
      <c r="N64" s="43"/>
    </row>
    <row r="65" spans="1:14" ht="15.75" customHeight="1" x14ac:dyDescent="0.35">
      <c r="A65" s="40"/>
      <c r="B65" s="39"/>
      <c r="C65" s="27">
        <f t="shared" si="7"/>
        <v>0</v>
      </c>
      <c r="D65" s="3">
        <f t="shared" si="8"/>
        <v>24</v>
      </c>
      <c r="E65" s="33">
        <f t="shared" si="9"/>
        <v>38834.951456310679</v>
      </c>
      <c r="F65" s="33">
        <f t="shared" si="10"/>
        <v>2330.0970873786409</v>
      </c>
      <c r="G65" s="33">
        <f t="shared" si="11"/>
        <v>1165.0485436893205</v>
      </c>
      <c r="H65" s="33">
        <f t="shared" si="5"/>
        <v>31448.260487211635</v>
      </c>
      <c r="I65" s="33">
        <f t="shared" si="6"/>
        <v>484204.27022130147</v>
      </c>
      <c r="M65" s="43"/>
      <c r="N65" s="43"/>
    </row>
    <row r="66" spans="1:14" ht="15.75" customHeight="1" x14ac:dyDescent="0.35">
      <c r="A66" s="40"/>
      <c r="B66" s="39"/>
      <c r="C66" s="27">
        <f t="shared" si="7"/>
        <v>0</v>
      </c>
      <c r="D66" s="3">
        <f t="shared" si="8"/>
        <v>24</v>
      </c>
      <c r="E66" s="33">
        <f t="shared" si="9"/>
        <v>38834.951456310679</v>
      </c>
      <c r="F66" s="33">
        <f t="shared" si="10"/>
        <v>2330.0970873786409</v>
      </c>
      <c r="G66" s="33">
        <f t="shared" si="11"/>
        <v>1165.0485436893205</v>
      </c>
      <c r="H66" s="33">
        <f t="shared" si="5"/>
        <v>33894.298915491207</v>
      </c>
      <c r="I66" s="33">
        <f t="shared" si="6"/>
        <v>521593.7147678606</v>
      </c>
      <c r="M66" s="43"/>
      <c r="N66" s="43"/>
    </row>
    <row r="67" spans="1:14" ht="15.75" customHeight="1" x14ac:dyDescent="0.35">
      <c r="A67" s="40"/>
      <c r="B67" s="39"/>
      <c r="C67" s="27">
        <f t="shared" si="7"/>
        <v>0</v>
      </c>
      <c r="D67" s="3">
        <f t="shared" si="8"/>
        <v>24</v>
      </c>
      <c r="E67" s="33">
        <f t="shared" si="9"/>
        <v>38834.951456310679</v>
      </c>
      <c r="F67" s="33">
        <f t="shared" si="10"/>
        <v>2330.0970873786409</v>
      </c>
      <c r="G67" s="33">
        <f t="shared" si="11"/>
        <v>1165.0485436893205</v>
      </c>
      <c r="H67" s="33">
        <f t="shared" si="5"/>
        <v>36511.560033750255</v>
      </c>
      <c r="I67" s="33">
        <f t="shared" si="6"/>
        <v>561600.42043267877</v>
      </c>
      <c r="M67" s="43"/>
      <c r="N67" s="43"/>
    </row>
    <row r="68" spans="1:14" ht="15.75" customHeight="1" x14ac:dyDescent="0.35">
      <c r="A68" s="40"/>
      <c r="B68" s="39"/>
      <c r="C68" s="27">
        <f t="shared" si="7"/>
        <v>0</v>
      </c>
      <c r="D68" s="3">
        <f t="shared" si="8"/>
        <v>24</v>
      </c>
      <c r="E68" s="33">
        <f t="shared" si="9"/>
        <v>38834.951456310679</v>
      </c>
      <c r="F68" s="33">
        <f t="shared" si="10"/>
        <v>2330.0970873786409</v>
      </c>
      <c r="G68" s="33">
        <f t="shared" si="11"/>
        <v>1165.0485436893205</v>
      </c>
      <c r="H68" s="33">
        <f t="shared" si="5"/>
        <v>39312.029430287541</v>
      </c>
      <c r="I68" s="33">
        <f t="shared" si="6"/>
        <v>604407.59549403423</v>
      </c>
      <c r="M68" s="43"/>
      <c r="N68" s="43"/>
    </row>
    <row r="69" spans="1:14" ht="15.75" customHeight="1" x14ac:dyDescent="0.35">
      <c r="A69" s="40"/>
      <c r="B69" s="39"/>
      <c r="C69" s="27">
        <f t="shared" si="7"/>
        <v>0</v>
      </c>
      <c r="D69" s="3">
        <f t="shared" si="8"/>
        <v>24</v>
      </c>
      <c r="E69" s="33">
        <f t="shared" si="9"/>
        <v>38834.951456310679</v>
      </c>
      <c r="F69" s="33">
        <f t="shared" si="10"/>
        <v>2330.0970873786409</v>
      </c>
      <c r="G69" s="33">
        <f t="shared" si="11"/>
        <v>1165.0485436893205</v>
      </c>
      <c r="H69" s="33">
        <f t="shared" si="5"/>
        <v>42308.531684582471</v>
      </c>
      <c r="I69" s="33">
        <f t="shared" si="6"/>
        <v>650211.27280968463</v>
      </c>
      <c r="M69" s="43"/>
      <c r="N69" s="43"/>
    </row>
    <row r="70" spans="1:14" ht="15" customHeight="1" x14ac:dyDescent="0.35">
      <c r="A70" s="40"/>
      <c r="B70" s="39"/>
      <c r="C70" s="27">
        <f t="shared" si="7"/>
        <v>0</v>
      </c>
      <c r="D70" s="3">
        <f t="shared" si="8"/>
        <v>24</v>
      </c>
      <c r="E70" s="33">
        <f t="shared" si="9"/>
        <v>38834.951456310679</v>
      </c>
      <c r="F70" s="33">
        <f t="shared" si="10"/>
        <v>2330.0970873786409</v>
      </c>
      <c r="G70" s="33">
        <f t="shared" si="11"/>
        <v>1165.0485436893205</v>
      </c>
      <c r="H70" s="33">
        <f t="shared" si="5"/>
        <v>45514.789096677909</v>
      </c>
      <c r="I70" s="33">
        <f t="shared" si="6"/>
        <v>699221.20753743045</v>
      </c>
      <c r="M70" s="43"/>
      <c r="N70" s="43"/>
    </row>
    <row r="71" spans="1:14" ht="15" customHeight="1" x14ac:dyDescent="0.35">
      <c r="A71" s="40"/>
      <c r="B71" s="39"/>
      <c r="M71" s="35"/>
      <c r="N71" s="35"/>
    </row>
    <row r="72" spans="1:14" ht="15" customHeight="1" x14ac:dyDescent="0.35">
      <c r="A72" s="40"/>
      <c r="B72" s="39"/>
      <c r="M72" s="35"/>
      <c r="N72" s="35"/>
    </row>
    <row r="73" spans="1:14" ht="15" customHeight="1" x14ac:dyDescent="0.35">
      <c r="A73" s="40"/>
      <c r="B73" s="39"/>
      <c r="M73" s="35"/>
      <c r="N73" s="35"/>
    </row>
    <row r="74" spans="1:14" ht="15" customHeight="1" x14ac:dyDescent="0.35">
      <c r="A74" s="40"/>
      <c r="B74" s="39"/>
      <c r="M74" s="35"/>
      <c r="N74" s="35"/>
    </row>
    <row r="75" spans="1:14" ht="15" customHeight="1" x14ac:dyDescent="0.35">
      <c r="A75" s="40"/>
      <c r="B75" s="39"/>
      <c r="M75" s="35"/>
      <c r="N75" s="35"/>
    </row>
    <row r="76" spans="1:14" ht="15" customHeight="1" x14ac:dyDescent="0.35">
      <c r="A76" s="40"/>
      <c r="B76" s="39"/>
      <c r="M76" s="35"/>
      <c r="N76" s="35"/>
    </row>
    <row r="77" spans="1:14" x14ac:dyDescent="0.25">
      <c r="M77" s="35"/>
      <c r="N77" s="35"/>
    </row>
    <row r="78" spans="1:14" x14ac:dyDescent="0.25">
      <c r="M78" s="35"/>
      <c r="N78" s="35"/>
    </row>
    <row r="79" spans="1:14" x14ac:dyDescent="0.25">
      <c r="M79" s="35"/>
      <c r="N79" s="35"/>
    </row>
    <row r="80" spans="1:14" x14ac:dyDescent="0.25">
      <c r="M80" s="35"/>
      <c r="N80" s="35"/>
    </row>
    <row r="81" spans="13:14" x14ac:dyDescent="0.25">
      <c r="M81" s="35"/>
      <c r="N81" s="35"/>
    </row>
    <row r="82" spans="13:14" x14ac:dyDescent="0.25">
      <c r="M82" s="35"/>
      <c r="N82" s="35"/>
    </row>
    <row r="83" spans="13:14" x14ac:dyDescent="0.25">
      <c r="M83" s="35"/>
      <c r="N83" s="35"/>
    </row>
  </sheetData>
  <mergeCells count="13">
    <mergeCell ref="C21:D21"/>
    <mergeCell ref="C13:D13"/>
    <mergeCell ref="C15:D15"/>
    <mergeCell ref="C16:D16"/>
    <mergeCell ref="C18:D18"/>
    <mergeCell ref="C19:D19"/>
    <mergeCell ref="C20:D20"/>
    <mergeCell ref="C12:D12"/>
    <mergeCell ref="H6:J6"/>
    <mergeCell ref="C7:D7"/>
    <mergeCell ref="C8:D8"/>
    <mergeCell ref="C10:D10"/>
    <mergeCell ref="C11:D11"/>
  </mergeCells>
  <conditionalFormatting sqref="C31:C70">
    <cfRule type="expression" dxfId="1" priority="2">
      <formula>ROW()&lt;COUNTIF($C$31:$C$90,"&gt;0")+31</formula>
    </cfRule>
  </conditionalFormatting>
  <conditionalFormatting sqref="D31:I70">
    <cfRule type="expression" dxfId="0" priority="1">
      <formula>ROW()&lt;COUNTIF($C$31:$C$90,"&gt;0")+31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11</vt:i4>
      </vt:variant>
    </vt:vector>
  </HeadingPairs>
  <TitlesOfParts>
    <vt:vector size="12" baseType="lpstr">
      <vt:lpstr>Hoja1</vt:lpstr>
      <vt:lpstr>Aporte_empleador</vt:lpstr>
      <vt:lpstr>Aumento_anual</vt:lpstr>
      <vt:lpstr>Cont_inicial</vt:lpstr>
      <vt:lpstr>ContrInicial</vt:lpstr>
      <vt:lpstr>Edad</vt:lpstr>
      <vt:lpstr>Edad_retiro</vt:lpstr>
      <vt:lpstr>Ingreso_inicial</vt:lpstr>
      <vt:lpstr>interes</vt:lpstr>
      <vt:lpstr>Max_aporte_em</vt:lpstr>
      <vt:lpstr>Pagos_por_año</vt:lpstr>
      <vt:lpstr>Salario_retenido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alberto castellanos</cp:lastModifiedBy>
  <dcterms:created xsi:type="dcterms:W3CDTF">2015-06-05T18:19:34Z</dcterms:created>
  <dcterms:modified xsi:type="dcterms:W3CDTF">2020-10-16T19:38:56Z</dcterms:modified>
</cp:coreProperties>
</file>